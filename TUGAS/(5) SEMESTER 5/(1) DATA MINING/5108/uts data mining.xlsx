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DATA KULIAH\TUGAS\(5) SEMESTER 5\(1) DATA MINING\5108\"/>
    </mc:Choice>
  </mc:AlternateContent>
  <xr:revisionPtr revIDLastSave="0" documentId="13_ncr:1_{42E88981-55C5-41D2-B14C-9D4FACAEED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1" l="1"/>
  <c r="E50" i="1"/>
  <c r="K54" i="1" s="1"/>
  <c r="L56" i="1"/>
  <c r="E49" i="1"/>
  <c r="D51" i="1"/>
  <c r="D50" i="1"/>
  <c r="D49" i="1"/>
  <c r="J50" i="1"/>
  <c r="D30" i="1"/>
  <c r="E30" i="1"/>
  <c r="F30" i="1"/>
  <c r="D31" i="1"/>
  <c r="E31" i="1"/>
  <c r="F31" i="1"/>
  <c r="D32" i="1"/>
  <c r="E32" i="1"/>
  <c r="F32" i="1"/>
  <c r="D33" i="1"/>
  <c r="E33" i="1"/>
  <c r="F33" i="1"/>
  <c r="D34" i="1"/>
  <c r="E34" i="1"/>
  <c r="F34" i="1"/>
  <c r="D35" i="1"/>
  <c r="E35" i="1"/>
  <c r="F35" i="1"/>
  <c r="D36" i="1"/>
  <c r="E36" i="1"/>
  <c r="F36" i="1"/>
  <c r="G36" i="1" s="1"/>
  <c r="D37" i="1"/>
  <c r="E37" i="1"/>
  <c r="F37" i="1"/>
  <c r="D38" i="1"/>
  <c r="E38" i="1"/>
  <c r="F38" i="1"/>
  <c r="D39" i="1"/>
  <c r="E39" i="1"/>
  <c r="F39" i="1"/>
  <c r="D40" i="1"/>
  <c r="E40" i="1"/>
  <c r="F40" i="1"/>
  <c r="D41" i="1"/>
  <c r="E41" i="1"/>
  <c r="F41" i="1"/>
  <c r="D42" i="1"/>
  <c r="E42" i="1"/>
  <c r="F42" i="1"/>
  <c r="D43" i="1"/>
  <c r="E43" i="1"/>
  <c r="F43" i="1"/>
  <c r="J56" i="1" l="1"/>
  <c r="J57" i="1"/>
  <c r="K60" i="1"/>
  <c r="K59" i="1"/>
  <c r="K58" i="1"/>
  <c r="K57" i="1"/>
  <c r="K53" i="1"/>
  <c r="K61" i="1"/>
  <c r="K52" i="1"/>
  <c r="K51" i="1"/>
  <c r="K50" i="1"/>
  <c r="J53" i="1"/>
  <c r="J63" i="1"/>
  <c r="J49" i="1"/>
  <c r="J58" i="1"/>
  <c r="J55" i="1"/>
  <c r="J61" i="1"/>
  <c r="J52" i="1"/>
  <c r="L63" i="1"/>
  <c r="L55" i="1"/>
  <c r="L62" i="1"/>
  <c r="L54" i="1"/>
  <c r="L61" i="1"/>
  <c r="L53" i="1"/>
  <c r="L60" i="1"/>
  <c r="L52" i="1"/>
  <c r="L51" i="1"/>
  <c r="L58" i="1"/>
  <c r="L50" i="1"/>
  <c r="L59" i="1"/>
  <c r="L57" i="1"/>
  <c r="J62" i="1"/>
  <c r="J54" i="1"/>
  <c r="J60" i="1"/>
  <c r="J51" i="1"/>
  <c r="J59" i="1"/>
  <c r="K56" i="1"/>
  <c r="M56" i="1" s="1"/>
  <c r="K63" i="1"/>
  <c r="M63" i="1" s="1"/>
  <c r="K55" i="1"/>
  <c r="K62" i="1"/>
  <c r="H39" i="1"/>
  <c r="H41" i="1"/>
  <c r="H34" i="1"/>
  <c r="G32" i="1"/>
  <c r="G41" i="1"/>
  <c r="H36" i="1"/>
  <c r="G33" i="1"/>
  <c r="G30" i="1"/>
  <c r="G43" i="1"/>
  <c r="H40" i="1"/>
  <c r="H31" i="1"/>
  <c r="G40" i="1"/>
  <c r="G35" i="1"/>
  <c r="H30" i="1"/>
  <c r="H42" i="1"/>
  <c r="G37" i="1"/>
  <c r="H32" i="1"/>
  <c r="G39" i="1"/>
  <c r="G34" i="1"/>
  <c r="G31" i="1"/>
  <c r="H33" i="1"/>
  <c r="G38" i="1"/>
  <c r="G42" i="1"/>
  <c r="H37" i="1"/>
  <c r="H35" i="1"/>
  <c r="H43" i="1"/>
  <c r="H38" i="1"/>
  <c r="F29" i="1"/>
  <c r="E29" i="1"/>
  <c r="D29" i="1"/>
  <c r="M53" i="1" l="1"/>
  <c r="N50" i="1"/>
  <c r="M61" i="1"/>
  <c r="M57" i="1"/>
  <c r="N62" i="1"/>
  <c r="N58" i="1"/>
  <c r="N54" i="1"/>
  <c r="N57" i="1"/>
  <c r="M58" i="1"/>
  <c r="N59" i="1"/>
  <c r="M54" i="1"/>
  <c r="N52" i="1"/>
  <c r="M55" i="1"/>
  <c r="N61" i="1"/>
  <c r="N53" i="1"/>
  <c r="M62" i="1"/>
  <c r="M50" i="1"/>
  <c r="M59" i="1"/>
  <c r="N60" i="1"/>
  <c r="N55" i="1"/>
  <c r="N51" i="1"/>
  <c r="M52" i="1"/>
  <c r="M60" i="1"/>
  <c r="M51" i="1"/>
  <c r="N56" i="1"/>
  <c r="N63" i="1"/>
  <c r="G29" i="1"/>
  <c r="H29" i="1"/>
  <c r="L49" i="1"/>
  <c r="K49" i="1"/>
  <c r="M49" i="1" l="1"/>
  <c r="N49" i="1"/>
</calcChain>
</file>

<file path=xl/sharedStrings.xml><?xml version="1.0" encoding="utf-8"?>
<sst xmlns="http://schemas.openxmlformats.org/spreadsheetml/2006/main" count="58" uniqueCount="19">
  <si>
    <t>1. DATA</t>
  </si>
  <si>
    <t>DATA KE-</t>
  </si>
  <si>
    <t>X</t>
  </si>
  <si>
    <t>Y</t>
  </si>
  <si>
    <t>2. CENTROID</t>
  </si>
  <si>
    <t>DATA</t>
  </si>
  <si>
    <t>SIMBOL</t>
  </si>
  <si>
    <t>C1</t>
  </si>
  <si>
    <t>C2</t>
  </si>
  <si>
    <t>C3</t>
  </si>
  <si>
    <t>3. VISUALISASI</t>
  </si>
  <si>
    <t>4. KELOMPOKKAN DATA</t>
  </si>
  <si>
    <t>5. MEMPERBARUI TITIK CENTROID</t>
  </si>
  <si>
    <t>MINIMUM</t>
  </si>
  <si>
    <t>KETERANGAN</t>
  </si>
  <si>
    <t>AMAN</t>
  </si>
  <si>
    <t>UTS DATA MINING RAMA &amp; LIDIA (KMEANS)</t>
  </si>
  <si>
    <t>CENTROID</t>
  </si>
  <si>
    <t>CENTROID 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</si>
</sst>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5" xfId="0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DATA</c:v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val>
            <c:numRef>
              <c:f>Sheet1!$A$9:$A$23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D1-4B38-BE9B-697F3376A9B7}"/>
            </c:ext>
          </c:extLst>
        </c:ser>
        <c:ser>
          <c:idx val="1"/>
          <c:order val="1"/>
          <c:tx>
            <c:v>X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val>
            <c:numRef>
              <c:f>Sheet1!$B$9:$B$23</c:f>
              <c:numCache>
                <c:formatCode>General</c:formatCode>
                <c:ptCount val="15"/>
                <c:pt idx="0">
                  <c:v>6</c:v>
                </c:pt>
                <c:pt idx="1">
                  <c:v>8</c:v>
                </c:pt>
                <c:pt idx="2">
                  <c:v>5</c:v>
                </c:pt>
                <c:pt idx="3">
                  <c:v>6</c:v>
                </c:pt>
                <c:pt idx="4">
                  <c:v>3</c:v>
                </c:pt>
                <c:pt idx="5">
                  <c:v>4</c:v>
                </c:pt>
                <c:pt idx="6">
                  <c:v>7</c:v>
                </c:pt>
                <c:pt idx="7">
                  <c:v>2</c:v>
                </c:pt>
                <c:pt idx="8">
                  <c:v>10</c:v>
                </c:pt>
                <c:pt idx="9">
                  <c:v>5</c:v>
                </c:pt>
                <c:pt idx="10">
                  <c:v>9</c:v>
                </c:pt>
                <c:pt idx="11">
                  <c:v>8</c:v>
                </c:pt>
                <c:pt idx="12">
                  <c:v>2</c:v>
                </c:pt>
                <c:pt idx="13">
                  <c:v>4</c:v>
                </c:pt>
                <c:pt idx="1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D1-4B38-BE9B-697F3376A9B7}"/>
            </c:ext>
          </c:extLst>
        </c:ser>
        <c:ser>
          <c:idx val="2"/>
          <c:order val="2"/>
          <c:tx>
            <c:v>Y</c:v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val>
            <c:numRef>
              <c:f>Sheet1!$C$9:$C$23</c:f>
              <c:numCache>
                <c:formatCode>General</c:formatCode>
                <c:ptCount val="15"/>
                <c:pt idx="0">
                  <c:v>10</c:v>
                </c:pt>
                <c:pt idx="1">
                  <c:v>5</c:v>
                </c:pt>
                <c:pt idx="2">
                  <c:v>4</c:v>
                </c:pt>
                <c:pt idx="3">
                  <c:v>8</c:v>
                </c:pt>
                <c:pt idx="4">
                  <c:v>6</c:v>
                </c:pt>
                <c:pt idx="5">
                  <c:v>2</c:v>
                </c:pt>
                <c:pt idx="6">
                  <c:v>9</c:v>
                </c:pt>
                <c:pt idx="7">
                  <c:v>6</c:v>
                </c:pt>
                <c:pt idx="8">
                  <c:v>3</c:v>
                </c:pt>
                <c:pt idx="9">
                  <c:v>2</c:v>
                </c:pt>
                <c:pt idx="10">
                  <c:v>6</c:v>
                </c:pt>
                <c:pt idx="11">
                  <c:v>5</c:v>
                </c:pt>
                <c:pt idx="12">
                  <c:v>5</c:v>
                </c:pt>
                <c:pt idx="13">
                  <c:v>3</c:v>
                </c:pt>
                <c:pt idx="1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D1-4B38-BE9B-697F3376A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0772495"/>
        <c:axId val="1280767215"/>
      </c:lineChart>
      <c:catAx>
        <c:axId val="12807724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767215"/>
        <c:crosses val="autoZero"/>
        <c:auto val="1"/>
        <c:lblAlgn val="ctr"/>
        <c:lblOffset val="100"/>
        <c:noMultiLvlLbl val="0"/>
      </c:catAx>
      <c:valAx>
        <c:axId val="128076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772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</xdr:colOff>
      <xdr:row>7</xdr:row>
      <xdr:rowOff>9524</xdr:rowOff>
    </xdr:from>
    <xdr:to>
      <xdr:col>14</xdr:col>
      <xdr:colOff>933450</xdr:colOff>
      <xdr:row>22</xdr:row>
      <xdr:rowOff>190499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DB405DE-FD6E-F58D-D66E-7BCADCDD7D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3"/>
  <sheetViews>
    <sheetView tabSelected="1" topLeftCell="A15" zoomScale="80" zoomScaleNormal="80" workbookViewId="0">
      <selection activeCell="N49" sqref="N49"/>
    </sheetView>
  </sheetViews>
  <sheetFormatPr defaultRowHeight="15" x14ac:dyDescent="0.25"/>
  <cols>
    <col min="1" max="14" width="12.7109375" style="1" customWidth="1"/>
    <col min="15" max="15" width="14.140625" style="1" customWidth="1"/>
    <col min="16" max="16384" width="9.140625" style="1"/>
  </cols>
  <sheetData>
    <row r="1" spans="1:15" ht="15.75" thickBot="1" x14ac:dyDescent="0.3">
      <c r="A1" s="13" t="s">
        <v>16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ht="15.75" thickBot="1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 x14ac:dyDescent="0.25">
      <c r="A3" s="14"/>
      <c r="B3" s="11"/>
      <c r="C3" s="11"/>
      <c r="D3" s="11"/>
      <c r="E3" s="12"/>
      <c r="F3" s="12"/>
      <c r="G3" s="12"/>
      <c r="H3" s="12"/>
      <c r="I3" s="12"/>
      <c r="J3" s="12"/>
      <c r="K3" s="12"/>
      <c r="L3" s="12"/>
      <c r="M3" s="12"/>
      <c r="N3" s="12"/>
      <c r="O3" s="15"/>
    </row>
    <row r="4" spans="1:15" x14ac:dyDescent="0.25">
      <c r="A4" s="16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5"/>
    </row>
    <row r="5" spans="1:15" x14ac:dyDescent="0.25">
      <c r="A5" s="16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5"/>
    </row>
    <row r="6" spans="1:15" x14ac:dyDescent="0.25">
      <c r="A6" s="14" t="s">
        <v>0</v>
      </c>
      <c r="B6" s="12"/>
      <c r="C6" s="12"/>
      <c r="D6" s="12"/>
      <c r="E6" s="11" t="s">
        <v>4</v>
      </c>
      <c r="F6" s="12"/>
      <c r="G6" s="12"/>
      <c r="H6" s="12"/>
      <c r="I6" s="12"/>
      <c r="J6" s="11" t="s">
        <v>10</v>
      </c>
      <c r="K6" s="12"/>
      <c r="L6" s="12"/>
      <c r="M6" s="12"/>
      <c r="N6" s="12"/>
      <c r="O6" s="15"/>
    </row>
    <row r="7" spans="1:15" x14ac:dyDescent="0.25">
      <c r="A7" s="16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5"/>
    </row>
    <row r="8" spans="1:15" x14ac:dyDescent="0.25">
      <c r="A8" s="17" t="s">
        <v>1</v>
      </c>
      <c r="B8" s="3" t="s">
        <v>2</v>
      </c>
      <c r="C8" s="3" t="s">
        <v>3</v>
      </c>
      <c r="D8" s="12"/>
      <c r="E8" s="3" t="s">
        <v>17</v>
      </c>
      <c r="F8" s="3" t="s">
        <v>2</v>
      </c>
      <c r="G8" s="3" t="s">
        <v>3</v>
      </c>
      <c r="H8" s="3" t="s">
        <v>6</v>
      </c>
      <c r="I8" s="12"/>
      <c r="J8" s="12"/>
      <c r="K8" s="12"/>
      <c r="L8" s="12"/>
      <c r="M8" s="12"/>
      <c r="N8" s="12"/>
      <c r="O8" s="15"/>
    </row>
    <row r="9" spans="1:15" x14ac:dyDescent="0.25">
      <c r="A9" s="18">
        <v>1</v>
      </c>
      <c r="B9" s="2">
        <v>6</v>
      </c>
      <c r="C9" s="2">
        <v>10</v>
      </c>
      <c r="D9" s="12"/>
      <c r="E9" s="2" t="s">
        <v>7</v>
      </c>
      <c r="F9" s="2">
        <v>2</v>
      </c>
      <c r="G9" s="2">
        <v>4</v>
      </c>
      <c r="H9" s="4"/>
      <c r="I9" s="12"/>
      <c r="J9" s="12"/>
      <c r="K9" s="12"/>
      <c r="L9" s="12"/>
      <c r="M9" s="12"/>
      <c r="N9" s="12"/>
      <c r="O9" s="15"/>
    </row>
    <row r="10" spans="1:15" x14ac:dyDescent="0.25">
      <c r="A10" s="18">
        <v>2</v>
      </c>
      <c r="B10" s="2">
        <v>8</v>
      </c>
      <c r="C10" s="2">
        <v>5</v>
      </c>
      <c r="D10" s="12"/>
      <c r="E10" s="2" t="s">
        <v>8</v>
      </c>
      <c r="F10" s="2">
        <v>5</v>
      </c>
      <c r="G10" s="2">
        <v>8</v>
      </c>
      <c r="H10" s="5"/>
      <c r="I10" s="12"/>
      <c r="J10" s="12"/>
      <c r="K10" s="12"/>
      <c r="L10" s="12"/>
      <c r="M10" s="12"/>
      <c r="N10" s="12"/>
      <c r="O10" s="15"/>
    </row>
    <row r="11" spans="1:15" x14ac:dyDescent="0.25">
      <c r="A11" s="18">
        <v>3</v>
      </c>
      <c r="B11" s="2">
        <v>5</v>
      </c>
      <c r="C11" s="2">
        <v>4</v>
      </c>
      <c r="D11" s="12"/>
      <c r="E11" s="2" t="s">
        <v>9</v>
      </c>
      <c r="F11" s="2">
        <v>9</v>
      </c>
      <c r="G11" s="2">
        <v>7</v>
      </c>
      <c r="H11" s="6"/>
      <c r="I11" s="12"/>
      <c r="J11" s="12"/>
      <c r="K11" s="12"/>
      <c r="L11" s="12"/>
      <c r="M11" s="12"/>
      <c r="N11" s="12"/>
      <c r="O11" s="15"/>
    </row>
    <row r="12" spans="1:15" x14ac:dyDescent="0.25">
      <c r="A12" s="18">
        <v>4</v>
      </c>
      <c r="B12" s="2">
        <v>6</v>
      </c>
      <c r="C12" s="2">
        <v>8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5"/>
    </row>
    <row r="13" spans="1:15" x14ac:dyDescent="0.25">
      <c r="A13" s="18">
        <v>5</v>
      </c>
      <c r="B13" s="2">
        <v>3</v>
      </c>
      <c r="C13" s="2">
        <v>6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5"/>
    </row>
    <row r="14" spans="1:15" x14ac:dyDescent="0.25">
      <c r="A14" s="18">
        <v>6</v>
      </c>
      <c r="B14" s="2">
        <v>4</v>
      </c>
      <c r="C14" s="2">
        <v>2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5"/>
    </row>
    <row r="15" spans="1:15" x14ac:dyDescent="0.25">
      <c r="A15" s="18">
        <v>7</v>
      </c>
      <c r="B15" s="2">
        <v>7</v>
      </c>
      <c r="C15" s="2">
        <v>9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5"/>
    </row>
    <row r="16" spans="1:15" x14ac:dyDescent="0.25">
      <c r="A16" s="18">
        <v>8</v>
      </c>
      <c r="B16" s="2">
        <v>2</v>
      </c>
      <c r="C16" s="2">
        <v>6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5"/>
    </row>
    <row r="17" spans="1:15" x14ac:dyDescent="0.25">
      <c r="A17" s="18">
        <v>9</v>
      </c>
      <c r="B17" s="2">
        <v>10</v>
      </c>
      <c r="C17" s="2">
        <v>3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5"/>
    </row>
    <row r="18" spans="1:15" x14ac:dyDescent="0.25">
      <c r="A18" s="18">
        <v>10</v>
      </c>
      <c r="B18" s="2">
        <v>5</v>
      </c>
      <c r="C18" s="2">
        <v>2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5"/>
    </row>
    <row r="19" spans="1:15" x14ac:dyDescent="0.25">
      <c r="A19" s="18">
        <v>11</v>
      </c>
      <c r="B19" s="2">
        <v>9</v>
      </c>
      <c r="C19" s="2">
        <v>6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5"/>
    </row>
    <row r="20" spans="1:15" x14ac:dyDescent="0.25">
      <c r="A20" s="18">
        <v>12</v>
      </c>
      <c r="B20" s="2">
        <v>8</v>
      </c>
      <c r="C20" s="2">
        <v>5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5"/>
    </row>
    <row r="21" spans="1:15" x14ac:dyDescent="0.25">
      <c r="A21" s="18">
        <v>13</v>
      </c>
      <c r="B21" s="2">
        <v>2</v>
      </c>
      <c r="C21" s="2">
        <v>5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5"/>
    </row>
    <row r="22" spans="1:15" x14ac:dyDescent="0.25">
      <c r="A22" s="18">
        <v>14</v>
      </c>
      <c r="B22" s="2">
        <v>4</v>
      </c>
      <c r="C22" s="2">
        <v>3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5"/>
    </row>
    <row r="23" spans="1:15" x14ac:dyDescent="0.25">
      <c r="A23" s="18">
        <v>15</v>
      </c>
      <c r="B23" s="2">
        <v>5</v>
      </c>
      <c r="C23" s="2">
        <v>8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5"/>
    </row>
    <row r="24" spans="1:15" x14ac:dyDescent="0.25">
      <c r="A24" s="16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5"/>
    </row>
    <row r="25" spans="1:15" x14ac:dyDescent="0.25">
      <c r="A25" s="16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5"/>
    </row>
    <row r="26" spans="1:15" x14ac:dyDescent="0.25">
      <c r="A26" s="14" t="s">
        <v>11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5"/>
    </row>
    <row r="27" spans="1:15" x14ac:dyDescent="0.25">
      <c r="A27" s="16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5"/>
    </row>
    <row r="28" spans="1:15" x14ac:dyDescent="0.25">
      <c r="A28" s="17" t="s">
        <v>5</v>
      </c>
      <c r="B28" s="3" t="s">
        <v>2</v>
      </c>
      <c r="C28" s="3" t="s">
        <v>3</v>
      </c>
      <c r="D28" s="3" t="s">
        <v>7</v>
      </c>
      <c r="E28" s="3" t="s">
        <v>8</v>
      </c>
      <c r="F28" s="3" t="s">
        <v>9</v>
      </c>
      <c r="G28" s="3" t="s">
        <v>13</v>
      </c>
      <c r="H28" s="3" t="s">
        <v>17</v>
      </c>
      <c r="I28" s="12"/>
      <c r="J28" s="3" t="s">
        <v>5</v>
      </c>
      <c r="K28" s="3" t="s">
        <v>7</v>
      </c>
      <c r="L28" s="3" t="s">
        <v>8</v>
      </c>
      <c r="M28" s="3" t="s">
        <v>9</v>
      </c>
      <c r="N28" s="12"/>
      <c r="O28" s="15"/>
    </row>
    <row r="29" spans="1:15" x14ac:dyDescent="0.25">
      <c r="A29" s="18">
        <v>1</v>
      </c>
      <c r="B29" s="2">
        <v>6</v>
      </c>
      <c r="C29" s="2">
        <v>10</v>
      </c>
      <c r="D29" s="2">
        <f>SQRT((B29-$F$9)^2+(C29-$G$9)^2)</f>
        <v>7.2111025509279782</v>
      </c>
      <c r="E29" s="2">
        <f>SQRT((B29-$F$10)^2+(C29-$G$10)^2)</f>
        <v>2.2360679774997898</v>
      </c>
      <c r="F29" s="2">
        <f>SQRT((B29-$F$11)^2+(C29-$G$11)^2)</f>
        <v>4.2426406871192848</v>
      </c>
      <c r="G29" s="2">
        <f>MIN(D29:F29)</f>
        <v>2.2360679774997898</v>
      </c>
      <c r="H29" s="2">
        <f>IF(AND(D29&lt;E29,D29&lt;F29),1,IF(AND(E29&lt;D29,E29&lt;F29),2,3))</f>
        <v>2</v>
      </c>
      <c r="I29" s="12"/>
      <c r="J29" s="2">
        <v>1</v>
      </c>
      <c r="K29" s="2"/>
      <c r="L29" s="2">
        <v>1</v>
      </c>
      <c r="M29" s="2"/>
      <c r="N29" s="12"/>
      <c r="O29" s="15"/>
    </row>
    <row r="30" spans="1:15" x14ac:dyDescent="0.25">
      <c r="A30" s="18">
        <v>2</v>
      </c>
      <c r="B30" s="2">
        <v>8</v>
      </c>
      <c r="C30" s="2">
        <v>5</v>
      </c>
      <c r="D30" s="2">
        <f t="shared" ref="D30:D43" si="0">SQRT((B30-$F$9)^2+(C30-$G$9)^2)</f>
        <v>6.0827625302982193</v>
      </c>
      <c r="E30" s="2">
        <f t="shared" ref="E30:E43" si="1">SQRT((B30-$F$10)^2+(C30-$G$10)^2)</f>
        <v>4.2426406871192848</v>
      </c>
      <c r="F30" s="2">
        <f t="shared" ref="F30:F43" si="2">SQRT((B30-$F$11)^2+(C30-$G$11)^2)</f>
        <v>2.2360679774997898</v>
      </c>
      <c r="G30" s="2">
        <f t="shared" ref="G30:G43" si="3">MIN(D30:F30)</f>
        <v>2.2360679774997898</v>
      </c>
      <c r="H30" s="2">
        <f t="shared" ref="H30:H43" si="4">IF(AND(D30&lt;E30,D30&lt;F30),1,IF(AND(E30&lt;D30,E30&lt;F30),2,3))</f>
        <v>3</v>
      </c>
      <c r="I30" s="12"/>
      <c r="J30" s="2">
        <v>2</v>
      </c>
      <c r="K30" s="2"/>
      <c r="L30" s="2"/>
      <c r="M30" s="2">
        <v>1</v>
      </c>
      <c r="N30" s="12"/>
      <c r="O30" s="15"/>
    </row>
    <row r="31" spans="1:15" x14ac:dyDescent="0.25">
      <c r="A31" s="18">
        <v>3</v>
      </c>
      <c r="B31" s="2">
        <v>5</v>
      </c>
      <c r="C31" s="2">
        <v>4</v>
      </c>
      <c r="D31" s="2">
        <f t="shared" si="0"/>
        <v>3</v>
      </c>
      <c r="E31" s="2">
        <f t="shared" si="1"/>
        <v>4</v>
      </c>
      <c r="F31" s="2">
        <f t="shared" si="2"/>
        <v>5</v>
      </c>
      <c r="G31" s="2">
        <f t="shared" si="3"/>
        <v>3</v>
      </c>
      <c r="H31" s="2">
        <f t="shared" si="4"/>
        <v>1</v>
      </c>
      <c r="I31" s="12"/>
      <c r="J31" s="2">
        <v>3</v>
      </c>
      <c r="K31" s="2">
        <v>1</v>
      </c>
      <c r="L31" s="2"/>
      <c r="M31" s="2"/>
      <c r="N31" s="12"/>
      <c r="O31" s="15"/>
    </row>
    <row r="32" spans="1:15" x14ac:dyDescent="0.25">
      <c r="A32" s="18">
        <v>4</v>
      </c>
      <c r="B32" s="2">
        <v>6</v>
      </c>
      <c r="C32" s="2">
        <v>8</v>
      </c>
      <c r="D32" s="2">
        <f t="shared" si="0"/>
        <v>5.6568542494923806</v>
      </c>
      <c r="E32" s="2">
        <f t="shared" si="1"/>
        <v>1</v>
      </c>
      <c r="F32" s="2">
        <f t="shared" si="2"/>
        <v>3.1622776601683795</v>
      </c>
      <c r="G32" s="2">
        <f t="shared" si="3"/>
        <v>1</v>
      </c>
      <c r="H32" s="2">
        <f t="shared" si="4"/>
        <v>2</v>
      </c>
      <c r="I32" s="12"/>
      <c r="J32" s="2">
        <v>4</v>
      </c>
      <c r="K32" s="2"/>
      <c r="L32" s="2">
        <v>1</v>
      </c>
      <c r="M32" s="2"/>
      <c r="N32" s="12"/>
      <c r="O32" s="15"/>
    </row>
    <row r="33" spans="1:15" x14ac:dyDescent="0.25">
      <c r="A33" s="18">
        <v>5</v>
      </c>
      <c r="B33" s="2">
        <v>3</v>
      </c>
      <c r="C33" s="2">
        <v>6</v>
      </c>
      <c r="D33" s="2">
        <f t="shared" si="0"/>
        <v>2.2360679774997898</v>
      </c>
      <c r="E33" s="2">
        <f t="shared" si="1"/>
        <v>2.8284271247461903</v>
      </c>
      <c r="F33" s="2">
        <f t="shared" si="2"/>
        <v>6.0827625302982193</v>
      </c>
      <c r="G33" s="2">
        <f t="shared" si="3"/>
        <v>2.2360679774997898</v>
      </c>
      <c r="H33" s="2">
        <f t="shared" si="4"/>
        <v>1</v>
      </c>
      <c r="I33" s="12"/>
      <c r="J33" s="2">
        <v>5</v>
      </c>
      <c r="K33" s="2">
        <v>1</v>
      </c>
      <c r="L33" s="2"/>
      <c r="M33" s="2"/>
      <c r="N33" s="12"/>
      <c r="O33" s="15"/>
    </row>
    <row r="34" spans="1:15" x14ac:dyDescent="0.25">
      <c r="A34" s="18">
        <v>6</v>
      </c>
      <c r="B34" s="2">
        <v>4</v>
      </c>
      <c r="C34" s="2">
        <v>2</v>
      </c>
      <c r="D34" s="2">
        <f t="shared" si="0"/>
        <v>2.8284271247461903</v>
      </c>
      <c r="E34" s="2">
        <f t="shared" si="1"/>
        <v>6.0827625302982193</v>
      </c>
      <c r="F34" s="2">
        <f t="shared" si="2"/>
        <v>7.0710678118654755</v>
      </c>
      <c r="G34" s="2">
        <f t="shared" si="3"/>
        <v>2.8284271247461903</v>
      </c>
      <c r="H34" s="2">
        <f t="shared" si="4"/>
        <v>1</v>
      </c>
      <c r="I34" s="12"/>
      <c r="J34" s="2">
        <v>6</v>
      </c>
      <c r="K34" s="2">
        <v>1</v>
      </c>
      <c r="L34" s="2"/>
      <c r="M34" s="2"/>
      <c r="N34" s="12"/>
      <c r="O34" s="15"/>
    </row>
    <row r="35" spans="1:15" x14ac:dyDescent="0.25">
      <c r="A35" s="18">
        <v>7</v>
      </c>
      <c r="B35" s="2">
        <v>7</v>
      </c>
      <c r="C35" s="2">
        <v>9</v>
      </c>
      <c r="D35" s="2">
        <f t="shared" si="0"/>
        <v>7.0710678118654755</v>
      </c>
      <c r="E35" s="2">
        <f t="shared" si="1"/>
        <v>2.2360679774997898</v>
      </c>
      <c r="F35" s="2">
        <f t="shared" si="2"/>
        <v>2.8284271247461903</v>
      </c>
      <c r="G35" s="2">
        <f t="shared" si="3"/>
        <v>2.2360679774997898</v>
      </c>
      <c r="H35" s="2">
        <f t="shared" si="4"/>
        <v>2</v>
      </c>
      <c r="I35" s="12"/>
      <c r="J35" s="2">
        <v>7</v>
      </c>
      <c r="K35" s="2"/>
      <c r="L35" s="2">
        <v>1</v>
      </c>
      <c r="M35" s="2"/>
      <c r="N35" s="12"/>
      <c r="O35" s="15"/>
    </row>
    <row r="36" spans="1:15" x14ac:dyDescent="0.25">
      <c r="A36" s="18">
        <v>8</v>
      </c>
      <c r="B36" s="2">
        <v>2</v>
      </c>
      <c r="C36" s="2">
        <v>6</v>
      </c>
      <c r="D36" s="2">
        <f t="shared" si="0"/>
        <v>2</v>
      </c>
      <c r="E36" s="2">
        <f t="shared" si="1"/>
        <v>3.6055512754639891</v>
      </c>
      <c r="F36" s="2">
        <f t="shared" si="2"/>
        <v>7.0710678118654755</v>
      </c>
      <c r="G36" s="2">
        <f t="shared" si="3"/>
        <v>2</v>
      </c>
      <c r="H36" s="2">
        <f t="shared" si="4"/>
        <v>1</v>
      </c>
      <c r="I36" s="12"/>
      <c r="J36" s="2">
        <v>8</v>
      </c>
      <c r="K36" s="2">
        <v>1</v>
      </c>
      <c r="L36" s="2"/>
      <c r="M36" s="2"/>
      <c r="N36" s="12"/>
      <c r="O36" s="15"/>
    </row>
    <row r="37" spans="1:15" x14ac:dyDescent="0.25">
      <c r="A37" s="18">
        <v>9</v>
      </c>
      <c r="B37" s="2">
        <v>10</v>
      </c>
      <c r="C37" s="2">
        <v>3</v>
      </c>
      <c r="D37" s="2">
        <f t="shared" si="0"/>
        <v>8.0622577482985491</v>
      </c>
      <c r="E37" s="2">
        <f t="shared" si="1"/>
        <v>7.0710678118654755</v>
      </c>
      <c r="F37" s="2">
        <f t="shared" si="2"/>
        <v>4.1231056256176606</v>
      </c>
      <c r="G37" s="2">
        <f t="shared" si="3"/>
        <v>4.1231056256176606</v>
      </c>
      <c r="H37" s="2">
        <f t="shared" si="4"/>
        <v>3</v>
      </c>
      <c r="I37" s="12"/>
      <c r="J37" s="2">
        <v>9</v>
      </c>
      <c r="K37" s="2"/>
      <c r="L37" s="2"/>
      <c r="M37" s="2">
        <v>1</v>
      </c>
      <c r="N37" s="12"/>
      <c r="O37" s="15"/>
    </row>
    <row r="38" spans="1:15" x14ac:dyDescent="0.25">
      <c r="A38" s="18">
        <v>10</v>
      </c>
      <c r="B38" s="2">
        <v>5</v>
      </c>
      <c r="C38" s="2">
        <v>2</v>
      </c>
      <c r="D38" s="2">
        <f t="shared" si="0"/>
        <v>3.6055512754639891</v>
      </c>
      <c r="E38" s="2">
        <f t="shared" si="1"/>
        <v>6</v>
      </c>
      <c r="F38" s="2">
        <f t="shared" si="2"/>
        <v>6.4031242374328485</v>
      </c>
      <c r="G38" s="2">
        <f t="shared" si="3"/>
        <v>3.6055512754639891</v>
      </c>
      <c r="H38" s="2">
        <f t="shared" si="4"/>
        <v>1</v>
      </c>
      <c r="I38" s="12"/>
      <c r="J38" s="2">
        <v>10</v>
      </c>
      <c r="K38" s="2">
        <v>1</v>
      </c>
      <c r="L38" s="2"/>
      <c r="M38" s="2"/>
      <c r="N38" s="12"/>
      <c r="O38" s="15"/>
    </row>
    <row r="39" spans="1:15" x14ac:dyDescent="0.25">
      <c r="A39" s="18">
        <v>11</v>
      </c>
      <c r="B39" s="2">
        <v>9</v>
      </c>
      <c r="C39" s="2">
        <v>6</v>
      </c>
      <c r="D39" s="2">
        <f t="shared" si="0"/>
        <v>7.2801098892805181</v>
      </c>
      <c r="E39" s="2">
        <f t="shared" si="1"/>
        <v>4.4721359549995796</v>
      </c>
      <c r="F39" s="2">
        <f t="shared" si="2"/>
        <v>1</v>
      </c>
      <c r="G39" s="2">
        <f t="shared" si="3"/>
        <v>1</v>
      </c>
      <c r="H39" s="2">
        <f t="shared" si="4"/>
        <v>3</v>
      </c>
      <c r="I39" s="12"/>
      <c r="J39" s="2">
        <v>11</v>
      </c>
      <c r="K39" s="2"/>
      <c r="L39" s="2"/>
      <c r="M39" s="2">
        <v>1</v>
      </c>
      <c r="N39" s="12"/>
      <c r="O39" s="15"/>
    </row>
    <row r="40" spans="1:15" x14ac:dyDescent="0.25">
      <c r="A40" s="18">
        <v>12</v>
      </c>
      <c r="B40" s="2">
        <v>8</v>
      </c>
      <c r="C40" s="2">
        <v>5</v>
      </c>
      <c r="D40" s="2">
        <f t="shared" si="0"/>
        <v>6.0827625302982193</v>
      </c>
      <c r="E40" s="2">
        <f t="shared" si="1"/>
        <v>4.2426406871192848</v>
      </c>
      <c r="F40" s="2">
        <f t="shared" si="2"/>
        <v>2.2360679774997898</v>
      </c>
      <c r="G40" s="2">
        <f t="shared" si="3"/>
        <v>2.2360679774997898</v>
      </c>
      <c r="H40" s="2">
        <f t="shared" si="4"/>
        <v>3</v>
      </c>
      <c r="I40" s="12"/>
      <c r="J40" s="2">
        <v>12</v>
      </c>
      <c r="K40" s="2"/>
      <c r="L40" s="2"/>
      <c r="M40" s="2">
        <v>1</v>
      </c>
      <c r="N40" s="12"/>
      <c r="O40" s="15"/>
    </row>
    <row r="41" spans="1:15" x14ac:dyDescent="0.25">
      <c r="A41" s="18">
        <v>13</v>
      </c>
      <c r="B41" s="2">
        <v>2</v>
      </c>
      <c r="C41" s="2">
        <v>5</v>
      </c>
      <c r="D41" s="2">
        <f t="shared" si="0"/>
        <v>1</v>
      </c>
      <c r="E41" s="2">
        <f t="shared" si="1"/>
        <v>4.2426406871192848</v>
      </c>
      <c r="F41" s="2">
        <f t="shared" si="2"/>
        <v>7.2801098892805181</v>
      </c>
      <c r="G41" s="2">
        <f t="shared" si="3"/>
        <v>1</v>
      </c>
      <c r="H41" s="2">
        <f t="shared" si="4"/>
        <v>1</v>
      </c>
      <c r="I41" s="12"/>
      <c r="J41" s="2">
        <v>13</v>
      </c>
      <c r="K41" s="2">
        <v>1</v>
      </c>
      <c r="L41" s="2"/>
      <c r="M41" s="2"/>
      <c r="N41" s="12"/>
      <c r="O41" s="15"/>
    </row>
    <row r="42" spans="1:15" x14ac:dyDescent="0.25">
      <c r="A42" s="18">
        <v>14</v>
      </c>
      <c r="B42" s="2">
        <v>4</v>
      </c>
      <c r="C42" s="2">
        <v>3</v>
      </c>
      <c r="D42" s="2">
        <f t="shared" si="0"/>
        <v>2.2360679774997898</v>
      </c>
      <c r="E42" s="2">
        <f t="shared" si="1"/>
        <v>5.0990195135927845</v>
      </c>
      <c r="F42" s="2">
        <f t="shared" si="2"/>
        <v>6.4031242374328485</v>
      </c>
      <c r="G42" s="2">
        <f t="shared" si="3"/>
        <v>2.2360679774997898</v>
      </c>
      <c r="H42" s="2">
        <f t="shared" si="4"/>
        <v>1</v>
      </c>
      <c r="I42" s="12"/>
      <c r="J42" s="2">
        <v>14</v>
      </c>
      <c r="K42" s="2">
        <v>1</v>
      </c>
      <c r="L42" s="2"/>
      <c r="M42" s="2"/>
      <c r="N42" s="12"/>
      <c r="O42" s="15"/>
    </row>
    <row r="43" spans="1:15" x14ac:dyDescent="0.25">
      <c r="A43" s="18">
        <v>15</v>
      </c>
      <c r="B43" s="2">
        <v>5</v>
      </c>
      <c r="C43" s="2">
        <v>8</v>
      </c>
      <c r="D43" s="2">
        <f t="shared" si="0"/>
        <v>5</v>
      </c>
      <c r="E43" s="2">
        <f t="shared" si="1"/>
        <v>0</v>
      </c>
      <c r="F43" s="2">
        <f t="shared" si="2"/>
        <v>4.1231056256176606</v>
      </c>
      <c r="G43" s="2">
        <f t="shared" si="3"/>
        <v>0</v>
      </c>
      <c r="H43" s="2">
        <f t="shared" si="4"/>
        <v>2</v>
      </c>
      <c r="I43" s="12"/>
      <c r="J43" s="2">
        <v>15</v>
      </c>
      <c r="K43" s="2"/>
      <c r="L43" s="2">
        <v>1</v>
      </c>
      <c r="M43" s="2"/>
      <c r="N43" s="12"/>
      <c r="O43" s="15"/>
    </row>
    <row r="44" spans="1:15" x14ac:dyDescent="0.25">
      <c r="A44" s="16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5"/>
    </row>
    <row r="45" spans="1:15" x14ac:dyDescent="0.25">
      <c r="A45" s="16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5"/>
    </row>
    <row r="46" spans="1:15" x14ac:dyDescent="0.25">
      <c r="A46" s="14" t="s">
        <v>12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5"/>
    </row>
    <row r="47" spans="1:15" x14ac:dyDescent="0.25">
      <c r="A47" s="16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5"/>
    </row>
    <row r="48" spans="1:15" x14ac:dyDescent="0.25">
      <c r="A48" s="19" t="s">
        <v>18</v>
      </c>
      <c r="B48" s="9"/>
      <c r="C48" s="10"/>
      <c r="D48" s="3" t="s">
        <v>2</v>
      </c>
      <c r="E48" s="3" t="s">
        <v>3</v>
      </c>
      <c r="F48" s="12"/>
      <c r="G48" s="3" t="s">
        <v>5</v>
      </c>
      <c r="H48" s="3" t="s">
        <v>2</v>
      </c>
      <c r="I48" s="3" t="s">
        <v>3</v>
      </c>
      <c r="J48" s="3" t="s">
        <v>7</v>
      </c>
      <c r="K48" s="3" t="s">
        <v>8</v>
      </c>
      <c r="L48" s="3" t="s">
        <v>9</v>
      </c>
      <c r="M48" s="3" t="s">
        <v>13</v>
      </c>
      <c r="N48" s="3" t="s">
        <v>17</v>
      </c>
      <c r="O48" s="20" t="s">
        <v>14</v>
      </c>
    </row>
    <row r="49" spans="1:15" x14ac:dyDescent="0.25">
      <c r="A49" s="21" t="s">
        <v>7</v>
      </c>
      <c r="B49" s="7"/>
      <c r="C49" s="8"/>
      <c r="D49" s="2">
        <f>(B11+B13+B14+B16+B18+B21+B22)/7</f>
        <v>3.5714285714285716</v>
      </c>
      <c r="E49" s="2">
        <f>(C11+C13+C14+C16+C18+C21+C22)/7</f>
        <v>4</v>
      </c>
      <c r="F49" s="12"/>
      <c r="G49" s="2">
        <v>1</v>
      </c>
      <c r="H49" s="2">
        <v>6</v>
      </c>
      <c r="I49" s="2">
        <v>10</v>
      </c>
      <c r="J49" s="2">
        <f>SQRT((H49-$D$49)^2+(I49-$E$49)^2)</f>
        <v>6.4728632909766812</v>
      </c>
      <c r="K49" s="2">
        <f>SQRT((H49-$D$50)^2+(I49-$E$50)^2)</f>
        <v>1.25</v>
      </c>
      <c r="L49" s="2">
        <f>SQRT((H49-$D$51)^2+(I49-$E$51)^2)</f>
        <v>5.9266347955648486</v>
      </c>
      <c r="M49" s="2">
        <f>MIN(J49:L49)</f>
        <v>1.25</v>
      </c>
      <c r="N49" s="2">
        <f>IF(AND(J49&lt;K49,J49&lt;L49),1,IF(AND(K49&lt;J49,K49&lt;L49),2,3))</f>
        <v>2</v>
      </c>
      <c r="O49" s="22" t="s">
        <v>15</v>
      </c>
    </row>
    <row r="50" spans="1:15" x14ac:dyDescent="0.25">
      <c r="A50" s="21" t="s">
        <v>8</v>
      </c>
      <c r="B50" s="7"/>
      <c r="C50" s="8"/>
      <c r="D50" s="2">
        <f>(B9+B12+B15+B23)/4</f>
        <v>6</v>
      </c>
      <c r="E50" s="2">
        <f>(C9+C12+C15+C23)/4</f>
        <v>8.75</v>
      </c>
      <c r="F50" s="12"/>
      <c r="G50" s="2">
        <v>2</v>
      </c>
      <c r="H50" s="2">
        <v>8</v>
      </c>
      <c r="I50" s="2">
        <v>5</v>
      </c>
      <c r="J50" s="2">
        <f t="shared" ref="J50:J63" si="5">SQRT((H50-$D$49)^2+(I50-$E$49)^2)</f>
        <v>4.5400710234487729</v>
      </c>
      <c r="K50" s="2">
        <f t="shared" ref="K50:K63" si="6">SQRT((H50-$D$50)^2+(I50-$E$50)^2)</f>
        <v>4.25</v>
      </c>
      <c r="L50" s="2">
        <f t="shared" ref="L50:L63" si="7">SQRT((H50-$D$51)^2+(I50-$E$51)^2)</f>
        <v>0.79056941504209488</v>
      </c>
      <c r="M50" s="2">
        <f t="shared" ref="M50:M63" si="8">MIN(J50:L50)</f>
        <v>0.79056941504209488</v>
      </c>
      <c r="N50" s="2">
        <f t="shared" ref="N50:N63" si="9">IF(AND(J50&lt;K50,J50&lt;L50),1,IF(AND(K50&lt;J50,K50&lt;L50),2,3))</f>
        <v>3</v>
      </c>
      <c r="O50" s="22" t="s">
        <v>15</v>
      </c>
    </row>
    <row r="51" spans="1:15" x14ac:dyDescent="0.25">
      <c r="A51" s="21" t="s">
        <v>9</v>
      </c>
      <c r="B51" s="7"/>
      <c r="C51" s="8"/>
      <c r="D51" s="2">
        <f>(B10+B17+B19+B20)/4</f>
        <v>8.75</v>
      </c>
      <c r="E51" s="2">
        <f>(C10+C17+C19+C20)/4</f>
        <v>4.75</v>
      </c>
      <c r="F51" s="12"/>
      <c r="G51" s="2">
        <v>3</v>
      </c>
      <c r="H51" s="2">
        <v>5</v>
      </c>
      <c r="I51" s="2">
        <v>4</v>
      </c>
      <c r="J51" s="2">
        <f t="shared" si="5"/>
        <v>1.4285714285714284</v>
      </c>
      <c r="K51" s="2">
        <f t="shared" si="6"/>
        <v>4.8541219597368999</v>
      </c>
      <c r="L51" s="2">
        <f t="shared" si="7"/>
        <v>3.8242646351945888</v>
      </c>
      <c r="M51" s="2">
        <f t="shared" si="8"/>
        <v>1.4285714285714284</v>
      </c>
      <c r="N51" s="2">
        <f t="shared" si="9"/>
        <v>1</v>
      </c>
      <c r="O51" s="22" t="s">
        <v>15</v>
      </c>
    </row>
    <row r="52" spans="1:15" x14ac:dyDescent="0.25">
      <c r="A52" s="16"/>
      <c r="B52" s="12"/>
      <c r="C52" s="12"/>
      <c r="D52" s="12"/>
      <c r="E52" s="12"/>
      <c r="F52" s="12"/>
      <c r="G52" s="2">
        <v>4</v>
      </c>
      <c r="H52" s="2">
        <v>6</v>
      </c>
      <c r="I52" s="2">
        <v>8</v>
      </c>
      <c r="J52" s="2">
        <f>SQRT((H52-$D$49)^2+(I52-$E$49)^2)</f>
        <v>4.6795255297597711</v>
      </c>
      <c r="K52" s="2">
        <f t="shared" si="6"/>
        <v>0.75</v>
      </c>
      <c r="L52" s="2">
        <f t="shared" si="7"/>
        <v>4.2573465914816007</v>
      </c>
      <c r="M52" s="2">
        <f t="shared" si="8"/>
        <v>0.75</v>
      </c>
      <c r="N52" s="2">
        <f t="shared" si="9"/>
        <v>2</v>
      </c>
      <c r="O52" s="22" t="s">
        <v>15</v>
      </c>
    </row>
    <row r="53" spans="1:15" x14ac:dyDescent="0.25">
      <c r="A53" s="16"/>
      <c r="B53" s="12"/>
      <c r="C53" s="12"/>
      <c r="D53" s="12"/>
      <c r="E53" s="12"/>
      <c r="F53" s="12"/>
      <c r="G53" s="2">
        <v>5</v>
      </c>
      <c r="H53" s="2">
        <v>3</v>
      </c>
      <c r="I53" s="2">
        <v>6</v>
      </c>
      <c r="J53" s="2">
        <f t="shared" si="5"/>
        <v>2.080031396937291</v>
      </c>
      <c r="K53" s="2">
        <f t="shared" si="6"/>
        <v>4.0697051490249265</v>
      </c>
      <c r="L53" s="2">
        <f t="shared" si="7"/>
        <v>5.8843011479699099</v>
      </c>
      <c r="M53" s="2">
        <f t="shared" si="8"/>
        <v>2.080031396937291</v>
      </c>
      <c r="N53" s="2">
        <f t="shared" si="9"/>
        <v>1</v>
      </c>
      <c r="O53" s="22" t="s">
        <v>15</v>
      </c>
    </row>
    <row r="54" spans="1:15" x14ac:dyDescent="0.25">
      <c r="A54" s="16"/>
      <c r="B54" s="12"/>
      <c r="C54" s="12"/>
      <c r="D54" s="12"/>
      <c r="E54" s="12"/>
      <c r="F54" s="12"/>
      <c r="G54" s="2">
        <v>6</v>
      </c>
      <c r="H54" s="2">
        <v>4</v>
      </c>
      <c r="I54" s="2">
        <v>2</v>
      </c>
      <c r="J54" s="2">
        <f t="shared" si="5"/>
        <v>2.0454030090394788</v>
      </c>
      <c r="K54" s="2">
        <f t="shared" si="6"/>
        <v>7.0400639201643616</v>
      </c>
      <c r="L54" s="2">
        <f t="shared" si="7"/>
        <v>5.4886246000250374</v>
      </c>
      <c r="M54" s="2">
        <f t="shared" si="8"/>
        <v>2.0454030090394788</v>
      </c>
      <c r="N54" s="2">
        <f t="shared" si="9"/>
        <v>1</v>
      </c>
      <c r="O54" s="22" t="s">
        <v>15</v>
      </c>
    </row>
    <row r="55" spans="1:15" x14ac:dyDescent="0.25">
      <c r="A55" s="16"/>
      <c r="B55" s="12"/>
      <c r="C55" s="12"/>
      <c r="D55" s="12"/>
      <c r="E55" s="12"/>
      <c r="F55" s="12"/>
      <c r="G55" s="2">
        <v>7</v>
      </c>
      <c r="H55" s="2">
        <v>7</v>
      </c>
      <c r="I55" s="2">
        <v>9</v>
      </c>
      <c r="J55" s="2">
        <f t="shared" si="5"/>
        <v>6.0625986211208414</v>
      </c>
      <c r="K55" s="2">
        <f t="shared" si="6"/>
        <v>1.0307764064044151</v>
      </c>
      <c r="L55" s="2">
        <f t="shared" si="7"/>
        <v>4.5961940777125587</v>
      </c>
      <c r="M55" s="2">
        <f t="shared" si="8"/>
        <v>1.0307764064044151</v>
      </c>
      <c r="N55" s="2">
        <f t="shared" si="9"/>
        <v>2</v>
      </c>
      <c r="O55" s="22" t="s">
        <v>15</v>
      </c>
    </row>
    <row r="56" spans="1:15" x14ac:dyDescent="0.25">
      <c r="A56" s="16"/>
      <c r="B56" s="12"/>
      <c r="C56" s="12"/>
      <c r="D56" s="12"/>
      <c r="E56" s="12"/>
      <c r="F56" s="12"/>
      <c r="G56" s="2">
        <v>8</v>
      </c>
      <c r="H56" s="2">
        <v>2</v>
      </c>
      <c r="I56" s="2">
        <v>6</v>
      </c>
      <c r="J56" s="2">
        <f t="shared" si="5"/>
        <v>2.5434991163949796</v>
      </c>
      <c r="K56" s="2">
        <f t="shared" si="6"/>
        <v>4.8541219597368999</v>
      </c>
      <c r="L56" s="2">
        <f t="shared" si="7"/>
        <v>6.8647651088729909</v>
      </c>
      <c r="M56" s="2">
        <f t="shared" si="8"/>
        <v>2.5434991163949796</v>
      </c>
      <c r="N56" s="2">
        <f t="shared" si="9"/>
        <v>1</v>
      </c>
      <c r="O56" s="22" t="s">
        <v>15</v>
      </c>
    </row>
    <row r="57" spans="1:15" x14ac:dyDescent="0.25">
      <c r="A57" s="16"/>
      <c r="B57" s="12"/>
      <c r="C57" s="12"/>
      <c r="D57" s="12"/>
      <c r="E57" s="12"/>
      <c r="F57" s="12"/>
      <c r="G57" s="2">
        <v>9</v>
      </c>
      <c r="H57" s="2">
        <v>10</v>
      </c>
      <c r="I57" s="2">
        <v>3</v>
      </c>
      <c r="J57" s="2">
        <f t="shared" si="5"/>
        <v>6.5058843067061147</v>
      </c>
      <c r="K57" s="2">
        <f t="shared" si="6"/>
        <v>7.00446286306095</v>
      </c>
      <c r="L57" s="2">
        <f t="shared" si="7"/>
        <v>2.1505813167606567</v>
      </c>
      <c r="M57" s="2">
        <f t="shared" si="8"/>
        <v>2.1505813167606567</v>
      </c>
      <c r="N57" s="2">
        <f t="shared" si="9"/>
        <v>3</v>
      </c>
      <c r="O57" s="22" t="s">
        <v>15</v>
      </c>
    </row>
    <row r="58" spans="1:15" x14ac:dyDescent="0.25">
      <c r="A58" s="16"/>
      <c r="B58" s="12"/>
      <c r="C58" s="12"/>
      <c r="D58" s="12"/>
      <c r="E58" s="12"/>
      <c r="F58" s="12"/>
      <c r="G58" s="2">
        <v>10</v>
      </c>
      <c r="H58" s="2">
        <v>5</v>
      </c>
      <c r="I58" s="2">
        <v>2</v>
      </c>
      <c r="J58" s="2">
        <f t="shared" si="5"/>
        <v>2.4578072191550362</v>
      </c>
      <c r="K58" s="2">
        <f t="shared" si="6"/>
        <v>6.8236720319780906</v>
      </c>
      <c r="L58" s="2">
        <f t="shared" si="7"/>
        <v>4.6502688094345688</v>
      </c>
      <c r="M58" s="2">
        <f t="shared" si="8"/>
        <v>2.4578072191550362</v>
      </c>
      <c r="N58" s="2">
        <f t="shared" si="9"/>
        <v>1</v>
      </c>
      <c r="O58" s="22" t="s">
        <v>15</v>
      </c>
    </row>
    <row r="59" spans="1:15" x14ac:dyDescent="0.25">
      <c r="A59" s="16"/>
      <c r="B59" s="12"/>
      <c r="C59" s="12"/>
      <c r="D59" s="12"/>
      <c r="E59" s="12"/>
      <c r="F59" s="12"/>
      <c r="G59" s="2">
        <v>11</v>
      </c>
      <c r="H59" s="2">
        <v>9</v>
      </c>
      <c r="I59" s="2">
        <v>6</v>
      </c>
      <c r="J59" s="2">
        <f t="shared" si="5"/>
        <v>5.7852733518047401</v>
      </c>
      <c r="K59" s="2">
        <f t="shared" si="6"/>
        <v>4.0697051490249265</v>
      </c>
      <c r="L59" s="2">
        <f t="shared" si="7"/>
        <v>1.2747548783981961</v>
      </c>
      <c r="M59" s="2">
        <f t="shared" si="8"/>
        <v>1.2747548783981961</v>
      </c>
      <c r="N59" s="2">
        <f t="shared" si="9"/>
        <v>3</v>
      </c>
      <c r="O59" s="22" t="s">
        <v>15</v>
      </c>
    </row>
    <row r="60" spans="1:15" x14ac:dyDescent="0.25">
      <c r="A60" s="16"/>
      <c r="B60" s="12"/>
      <c r="C60" s="12"/>
      <c r="D60" s="12"/>
      <c r="E60" s="12"/>
      <c r="F60" s="12"/>
      <c r="G60" s="2">
        <v>12</v>
      </c>
      <c r="H60" s="2">
        <v>8</v>
      </c>
      <c r="I60" s="2">
        <v>5</v>
      </c>
      <c r="J60" s="2">
        <f t="shared" si="5"/>
        <v>4.5400710234487729</v>
      </c>
      <c r="K60" s="2">
        <f t="shared" si="6"/>
        <v>4.25</v>
      </c>
      <c r="L60" s="2">
        <f t="shared" si="7"/>
        <v>0.79056941504209488</v>
      </c>
      <c r="M60" s="2">
        <f t="shared" si="8"/>
        <v>0.79056941504209488</v>
      </c>
      <c r="N60" s="2">
        <f t="shared" si="9"/>
        <v>3</v>
      </c>
      <c r="O60" s="22" t="s">
        <v>15</v>
      </c>
    </row>
    <row r="61" spans="1:15" x14ac:dyDescent="0.25">
      <c r="A61" s="16"/>
      <c r="B61" s="12"/>
      <c r="C61" s="12"/>
      <c r="D61" s="12"/>
      <c r="E61" s="12"/>
      <c r="F61" s="12"/>
      <c r="G61" s="2">
        <v>13</v>
      </c>
      <c r="H61" s="2">
        <v>2</v>
      </c>
      <c r="I61" s="2">
        <v>5</v>
      </c>
      <c r="J61" s="2">
        <f t="shared" si="5"/>
        <v>1.8626292586293285</v>
      </c>
      <c r="K61" s="2">
        <f t="shared" si="6"/>
        <v>5.4829280498653272</v>
      </c>
      <c r="L61" s="2">
        <f t="shared" si="7"/>
        <v>6.754628043053148</v>
      </c>
      <c r="M61" s="2">
        <f t="shared" si="8"/>
        <v>1.8626292586293285</v>
      </c>
      <c r="N61" s="2">
        <f t="shared" si="9"/>
        <v>1</v>
      </c>
      <c r="O61" s="22" t="s">
        <v>15</v>
      </c>
    </row>
    <row r="62" spans="1:15" x14ac:dyDescent="0.25">
      <c r="A62" s="16"/>
      <c r="B62" s="12"/>
      <c r="C62" s="12"/>
      <c r="D62" s="12"/>
      <c r="E62" s="12"/>
      <c r="F62" s="12"/>
      <c r="G62" s="2">
        <v>14</v>
      </c>
      <c r="H62" s="2">
        <v>4</v>
      </c>
      <c r="I62" s="2">
        <v>3</v>
      </c>
      <c r="J62" s="2">
        <f t="shared" si="5"/>
        <v>1.0879675865519869</v>
      </c>
      <c r="K62" s="2">
        <f t="shared" si="6"/>
        <v>6.0878978309429606</v>
      </c>
      <c r="L62" s="2">
        <f t="shared" si="7"/>
        <v>5.0621141828291467</v>
      </c>
      <c r="M62" s="2">
        <f t="shared" si="8"/>
        <v>1.0879675865519869</v>
      </c>
      <c r="N62" s="2">
        <f t="shared" si="9"/>
        <v>1</v>
      </c>
      <c r="O62" s="22" t="s">
        <v>15</v>
      </c>
    </row>
    <row r="63" spans="1:15" ht="15.75" thickBot="1" x14ac:dyDescent="0.3">
      <c r="A63" s="23"/>
      <c r="B63" s="24"/>
      <c r="C63" s="24"/>
      <c r="D63" s="24"/>
      <c r="E63" s="24"/>
      <c r="F63" s="24"/>
      <c r="G63" s="25">
        <v>15</v>
      </c>
      <c r="H63" s="25">
        <v>5</v>
      </c>
      <c r="I63" s="25">
        <v>8</v>
      </c>
      <c r="J63" s="25">
        <f t="shared" si="5"/>
        <v>4.247448213519573</v>
      </c>
      <c r="K63" s="25">
        <f t="shared" si="6"/>
        <v>1.25</v>
      </c>
      <c r="L63" s="25">
        <f t="shared" si="7"/>
        <v>4.9623583103198019</v>
      </c>
      <c r="M63" s="25">
        <f t="shared" si="8"/>
        <v>1.25</v>
      </c>
      <c r="N63" s="25">
        <f t="shared" si="9"/>
        <v>2</v>
      </c>
      <c r="O63" s="26" t="s">
        <v>15</v>
      </c>
    </row>
  </sheetData>
  <mergeCells count="5">
    <mergeCell ref="A51:C51"/>
    <mergeCell ref="A48:C48"/>
    <mergeCell ref="A49:C49"/>
    <mergeCell ref="A50:C50"/>
    <mergeCell ref="A1:O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 Pramudya</dc:creator>
  <cp:lastModifiedBy>Rama Pramudya</cp:lastModifiedBy>
  <dcterms:created xsi:type="dcterms:W3CDTF">2015-06-05T18:17:20Z</dcterms:created>
  <dcterms:modified xsi:type="dcterms:W3CDTF">2024-11-11T10:41:18Z</dcterms:modified>
</cp:coreProperties>
</file>