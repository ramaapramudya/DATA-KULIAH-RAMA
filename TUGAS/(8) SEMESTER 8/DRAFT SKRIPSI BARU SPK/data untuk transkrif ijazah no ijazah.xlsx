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ATA KULIAH\TUGAS\(8) SEMESTER 8\DRAFT SKRIPSI BARU SPK\"/>
    </mc:Choice>
  </mc:AlternateContent>
  <xr:revisionPtr revIDLastSave="0" documentId="13_ncr:1_{81BB5BDE-A9D4-4315-85CE-D5CC51B642F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 US" sheetId="1" r:id="rId1"/>
    <sheet name="TSM" sheetId="2" r:id="rId2"/>
    <sheet name="ELIND" sheetId="3" r:id="rId3"/>
    <sheet name="TRANSKRIF TSM" sheetId="4" r:id="rId4"/>
    <sheet name="TRANSKRIF ELIN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K65" i="4" l="1"/>
  <c r="B2" i="4"/>
  <c r="DK3" i="4"/>
  <c r="DK4" i="4"/>
  <c r="DK5" i="4"/>
  <c r="DK6" i="4"/>
  <c r="DK7" i="4"/>
  <c r="DK8" i="4"/>
  <c r="DK9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41" i="4"/>
  <c r="DK42" i="4"/>
  <c r="DK43" i="4"/>
  <c r="DK44" i="4"/>
  <c r="DK45" i="4"/>
  <c r="DK46" i="4"/>
  <c r="DK47" i="4"/>
  <c r="DK48" i="4"/>
  <c r="DK49" i="4"/>
  <c r="DK50" i="4"/>
  <c r="DK51" i="4"/>
  <c r="DK52" i="4"/>
  <c r="DK53" i="4"/>
  <c r="DK54" i="4"/>
  <c r="DK55" i="4"/>
  <c r="DK56" i="4"/>
  <c r="DK57" i="4"/>
  <c r="DK58" i="4"/>
  <c r="DK59" i="4"/>
  <c r="DK60" i="4"/>
  <c r="DK61" i="4"/>
  <c r="DK62" i="4"/>
  <c r="DK63" i="4"/>
  <c r="DK64" i="4"/>
  <c r="DK66" i="4"/>
  <c r="DK67" i="4"/>
  <c r="DK68" i="4"/>
  <c r="DK69" i="4"/>
  <c r="DK70" i="4"/>
  <c r="DK71" i="4"/>
  <c r="DK72" i="4"/>
  <c r="DK73" i="4"/>
  <c r="DK74" i="4"/>
  <c r="DK75" i="4"/>
  <c r="DK76" i="4"/>
  <c r="DK77" i="4"/>
  <c r="DK78" i="4"/>
  <c r="DK79" i="4"/>
  <c r="DK80" i="4"/>
  <c r="DK81" i="4"/>
  <c r="DK82" i="4"/>
  <c r="DK2" i="4"/>
  <c r="DV3" i="5"/>
  <c r="DV4" i="5"/>
  <c r="DV5" i="5"/>
  <c r="DV6" i="5"/>
  <c r="DV7" i="5"/>
  <c r="DV8" i="5"/>
  <c r="DV9" i="5"/>
  <c r="DV10" i="5"/>
  <c r="DV11" i="5"/>
  <c r="DV12" i="5"/>
  <c r="DV13" i="5"/>
  <c r="DV14" i="5"/>
  <c r="DV15" i="5"/>
  <c r="DV16" i="5"/>
  <c r="DV17" i="5"/>
  <c r="DV18" i="5"/>
  <c r="DV19" i="5"/>
  <c r="DV20" i="5"/>
  <c r="DV21" i="5"/>
  <c r="DV22" i="5"/>
  <c r="DV23" i="5"/>
  <c r="DV24" i="5"/>
  <c r="DV25" i="5"/>
  <c r="DV26" i="5"/>
  <c r="DV27" i="5"/>
  <c r="DV28" i="5"/>
  <c r="DV29" i="5"/>
  <c r="DV30" i="5"/>
  <c r="DV31" i="5"/>
  <c r="DV32" i="5"/>
  <c r="DV33" i="5"/>
  <c r="DV34" i="5"/>
  <c r="DV35" i="5"/>
  <c r="DV36" i="5"/>
  <c r="DV37" i="5"/>
  <c r="DV38" i="5"/>
  <c r="DV39" i="5"/>
  <c r="DV40" i="5"/>
  <c r="DV41" i="5"/>
  <c r="DV42" i="5"/>
  <c r="DV43" i="5"/>
  <c r="DV44" i="5"/>
  <c r="DV45" i="5"/>
  <c r="DV46" i="5"/>
  <c r="DV47" i="5"/>
  <c r="DV48" i="5"/>
  <c r="DV49" i="5"/>
  <c r="DV50" i="5"/>
  <c r="DV51" i="5"/>
  <c r="DV52" i="5"/>
  <c r="DV53" i="5"/>
  <c r="DV54" i="5"/>
  <c r="DV55" i="5"/>
  <c r="DV56" i="5"/>
  <c r="DV57" i="5"/>
  <c r="DV58" i="5"/>
  <c r="DV59" i="5"/>
  <c r="DV60" i="5"/>
  <c r="DV61" i="5"/>
  <c r="DV62" i="5"/>
  <c r="DV2" i="5"/>
  <c r="C5" i="3"/>
  <c r="DU3" i="5"/>
  <c r="DU4" i="5"/>
  <c r="DU5" i="5"/>
  <c r="DU6" i="5"/>
  <c r="DU7" i="5"/>
  <c r="DU8" i="5"/>
  <c r="DU9" i="5"/>
  <c r="DU10" i="5"/>
  <c r="DU11" i="5"/>
  <c r="DU12" i="5"/>
  <c r="DU13" i="5"/>
  <c r="DU14" i="5"/>
  <c r="DU15" i="5"/>
  <c r="DU16" i="5"/>
  <c r="DU17" i="5"/>
  <c r="DU18" i="5"/>
  <c r="DU19" i="5"/>
  <c r="DU20" i="5"/>
  <c r="DU21" i="5"/>
  <c r="DU22" i="5"/>
  <c r="DU23" i="5"/>
  <c r="DU24" i="5"/>
  <c r="DU25" i="5"/>
  <c r="DU26" i="5"/>
  <c r="DU27" i="5"/>
  <c r="DU28" i="5"/>
  <c r="DU29" i="5"/>
  <c r="DU30" i="5"/>
  <c r="DU31" i="5"/>
  <c r="DU32" i="5"/>
  <c r="DU33" i="5"/>
  <c r="DU34" i="5"/>
  <c r="DU35" i="5"/>
  <c r="DU36" i="5"/>
  <c r="DU37" i="5"/>
  <c r="DU38" i="5"/>
  <c r="DU39" i="5"/>
  <c r="DU40" i="5"/>
  <c r="DU41" i="5"/>
  <c r="DU42" i="5"/>
  <c r="DU43" i="5"/>
  <c r="DU44" i="5"/>
  <c r="DU45" i="5"/>
  <c r="DU46" i="5"/>
  <c r="DU47" i="5"/>
  <c r="DU48" i="5"/>
  <c r="DU49" i="5"/>
  <c r="DU50" i="5"/>
  <c r="DU51" i="5"/>
  <c r="DU52" i="5"/>
  <c r="DU53" i="5"/>
  <c r="DU54" i="5"/>
  <c r="DU55" i="5"/>
  <c r="DU56" i="5"/>
  <c r="DU57" i="5"/>
  <c r="DU58" i="5"/>
  <c r="DU59" i="5"/>
  <c r="DU60" i="5"/>
  <c r="DU61" i="5"/>
  <c r="DU62" i="5"/>
  <c r="DU63" i="5"/>
  <c r="DU64" i="5"/>
  <c r="DU65" i="5"/>
  <c r="DU66" i="5"/>
  <c r="DU67" i="5"/>
  <c r="DU68" i="5"/>
  <c r="DU69" i="5"/>
  <c r="DU70" i="5"/>
  <c r="DU71" i="5"/>
  <c r="DU72" i="5"/>
  <c r="DU73" i="5"/>
  <c r="DU74" i="5"/>
  <c r="DU75" i="5"/>
  <c r="DU76" i="5"/>
  <c r="DU77" i="5"/>
  <c r="DU78" i="5"/>
  <c r="DU79" i="5"/>
  <c r="DU80" i="5"/>
  <c r="DU81" i="5"/>
  <c r="DU82" i="5"/>
  <c r="DU2" i="5"/>
  <c r="DT3" i="5"/>
  <c r="DT4" i="5"/>
  <c r="DT5" i="5"/>
  <c r="DT6" i="5"/>
  <c r="DT7" i="5"/>
  <c r="DT8" i="5"/>
  <c r="DT9" i="5"/>
  <c r="DT10" i="5"/>
  <c r="DT11" i="5"/>
  <c r="DT12" i="5"/>
  <c r="DT13" i="5"/>
  <c r="DT14" i="5"/>
  <c r="DT15" i="5"/>
  <c r="DT16" i="5"/>
  <c r="DT17" i="5"/>
  <c r="DT18" i="5"/>
  <c r="DT19" i="5"/>
  <c r="DT20" i="5"/>
  <c r="DT21" i="5"/>
  <c r="DT22" i="5"/>
  <c r="DT23" i="5"/>
  <c r="DT24" i="5"/>
  <c r="DT25" i="5"/>
  <c r="DT26" i="5"/>
  <c r="DT27" i="5"/>
  <c r="DT28" i="5"/>
  <c r="DT29" i="5"/>
  <c r="DT30" i="5"/>
  <c r="DT31" i="5"/>
  <c r="DT32" i="5"/>
  <c r="DT33" i="5"/>
  <c r="DT34" i="5"/>
  <c r="DT35" i="5"/>
  <c r="DT36" i="5"/>
  <c r="DT37" i="5"/>
  <c r="DT38" i="5"/>
  <c r="DT39" i="5"/>
  <c r="DT40" i="5"/>
  <c r="DT41" i="5"/>
  <c r="DT42" i="5"/>
  <c r="DT43" i="5"/>
  <c r="DT44" i="5"/>
  <c r="DT45" i="5"/>
  <c r="DT46" i="5"/>
  <c r="DT47" i="5"/>
  <c r="DT48" i="5"/>
  <c r="DT49" i="5"/>
  <c r="DT50" i="5"/>
  <c r="DT51" i="5"/>
  <c r="DT52" i="5"/>
  <c r="DT53" i="5"/>
  <c r="DT54" i="5"/>
  <c r="DT55" i="5"/>
  <c r="DT56" i="5"/>
  <c r="DT57" i="5"/>
  <c r="DT58" i="5"/>
  <c r="DT59" i="5"/>
  <c r="DT60" i="5"/>
  <c r="DT61" i="5"/>
  <c r="DT62" i="5"/>
  <c r="DT63" i="5"/>
  <c r="DT64" i="5"/>
  <c r="DT65" i="5"/>
  <c r="DT66" i="5"/>
  <c r="DT67" i="5"/>
  <c r="DT68" i="5"/>
  <c r="DT69" i="5"/>
  <c r="DT70" i="5"/>
  <c r="DT71" i="5"/>
  <c r="DT72" i="5"/>
  <c r="DT73" i="5"/>
  <c r="DT74" i="5"/>
  <c r="DT75" i="5"/>
  <c r="DT76" i="5"/>
  <c r="DT77" i="5"/>
  <c r="DT78" i="5"/>
  <c r="DT79" i="5"/>
  <c r="DT80" i="5"/>
  <c r="DT81" i="5"/>
  <c r="DT82" i="5"/>
  <c r="DT2" i="5"/>
  <c r="DJ3" i="4"/>
  <c r="DJ4" i="4"/>
  <c r="DJ5" i="4"/>
  <c r="DJ6" i="4"/>
  <c r="DJ7" i="4"/>
  <c r="DJ8" i="4"/>
  <c r="DJ9" i="4"/>
  <c r="DJ10" i="4"/>
  <c r="DJ11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41" i="4"/>
  <c r="DJ42" i="4"/>
  <c r="DJ43" i="4"/>
  <c r="DJ44" i="4"/>
  <c r="DJ45" i="4"/>
  <c r="DJ46" i="4"/>
  <c r="DJ47" i="4"/>
  <c r="DJ48" i="4"/>
  <c r="DJ49" i="4"/>
  <c r="DJ50" i="4"/>
  <c r="DJ51" i="4"/>
  <c r="DJ52" i="4"/>
  <c r="DJ53" i="4"/>
  <c r="DJ54" i="4"/>
  <c r="DJ55" i="4"/>
  <c r="DJ56" i="4"/>
  <c r="DJ57" i="4"/>
  <c r="DJ58" i="4"/>
  <c r="DJ59" i="4"/>
  <c r="DJ60" i="4"/>
  <c r="DJ61" i="4"/>
  <c r="DJ62" i="4"/>
  <c r="DJ63" i="4"/>
  <c r="DJ64" i="4"/>
  <c r="DJ65" i="4"/>
  <c r="DJ66" i="4"/>
  <c r="DJ67" i="4"/>
  <c r="DJ68" i="4"/>
  <c r="DJ69" i="4"/>
  <c r="DJ70" i="4"/>
  <c r="DJ71" i="4"/>
  <c r="DJ72" i="4"/>
  <c r="DJ73" i="4"/>
  <c r="DJ74" i="4"/>
  <c r="DJ75" i="4"/>
  <c r="DJ76" i="4"/>
  <c r="DJ77" i="4"/>
  <c r="DJ78" i="4"/>
  <c r="DJ79" i="4"/>
  <c r="DJ80" i="4"/>
  <c r="DJ81" i="4"/>
  <c r="DJ82" i="4"/>
  <c r="DJ2" i="4"/>
  <c r="DE21" i="4" l="1"/>
  <c r="DS3" i="5"/>
  <c r="DS4" i="5"/>
  <c r="DS5" i="5"/>
  <c r="DS6" i="5"/>
  <c r="DS7" i="5"/>
  <c r="DS8" i="5"/>
  <c r="DS9" i="5"/>
  <c r="DS10" i="5"/>
  <c r="DS11" i="5"/>
  <c r="DS12" i="5"/>
  <c r="DS13" i="5"/>
  <c r="DS14" i="5"/>
  <c r="DS15" i="5"/>
  <c r="DS16" i="5"/>
  <c r="DS17" i="5"/>
  <c r="DS18" i="5"/>
  <c r="DS19" i="5"/>
  <c r="DS20" i="5"/>
  <c r="DS21" i="5"/>
  <c r="DS22" i="5"/>
  <c r="DS23" i="5"/>
  <c r="DS24" i="5"/>
  <c r="DS25" i="5"/>
  <c r="DS26" i="5"/>
  <c r="DS27" i="5"/>
  <c r="DS28" i="5"/>
  <c r="DS29" i="5"/>
  <c r="DS30" i="5"/>
  <c r="DS31" i="5"/>
  <c r="DS32" i="5"/>
  <c r="DS33" i="5"/>
  <c r="DS34" i="5"/>
  <c r="DS35" i="5"/>
  <c r="DS36" i="5"/>
  <c r="DS37" i="5"/>
  <c r="DS38" i="5"/>
  <c r="DS39" i="5"/>
  <c r="DS40" i="5"/>
  <c r="DS41" i="5"/>
  <c r="DS42" i="5"/>
  <c r="DS43" i="5"/>
  <c r="DS44" i="5"/>
  <c r="DS45" i="5"/>
  <c r="DS46" i="5"/>
  <c r="DS47" i="5"/>
  <c r="DS48" i="5"/>
  <c r="DS49" i="5"/>
  <c r="DS50" i="5"/>
  <c r="DS51" i="5"/>
  <c r="DS52" i="5"/>
  <c r="DS53" i="5"/>
  <c r="DS54" i="5"/>
  <c r="DS55" i="5"/>
  <c r="DS56" i="5"/>
  <c r="DS57" i="5"/>
  <c r="DS58" i="5"/>
  <c r="DS59" i="5"/>
  <c r="DS60" i="5"/>
  <c r="DS61" i="5"/>
  <c r="DS62" i="5"/>
  <c r="DS63" i="5"/>
  <c r="DS64" i="5"/>
  <c r="DS65" i="5"/>
  <c r="DS66" i="5"/>
  <c r="DS67" i="5"/>
  <c r="DS68" i="5"/>
  <c r="DS69" i="5"/>
  <c r="DS70" i="5"/>
  <c r="DS71" i="5"/>
  <c r="DS72" i="5"/>
  <c r="DS73" i="5"/>
  <c r="DS74" i="5"/>
  <c r="DS75" i="5"/>
  <c r="DS76" i="5"/>
  <c r="DS77" i="5"/>
  <c r="DS78" i="5"/>
  <c r="DS79" i="5"/>
  <c r="DS80" i="5"/>
  <c r="DS81" i="5"/>
  <c r="DS82" i="5"/>
  <c r="DS2" i="5"/>
  <c r="DR3" i="5"/>
  <c r="DR4" i="5"/>
  <c r="DR5" i="5"/>
  <c r="DR6" i="5"/>
  <c r="DR7" i="5"/>
  <c r="DR8" i="5"/>
  <c r="DR9" i="5"/>
  <c r="DR10" i="5"/>
  <c r="DR11" i="5"/>
  <c r="DR12" i="5"/>
  <c r="DR13" i="5"/>
  <c r="DR14" i="5"/>
  <c r="DR15" i="5"/>
  <c r="DR16" i="5"/>
  <c r="DR17" i="5"/>
  <c r="DR18" i="5"/>
  <c r="DR19" i="5"/>
  <c r="DR20" i="5"/>
  <c r="DR21" i="5"/>
  <c r="DR22" i="5"/>
  <c r="DR23" i="5"/>
  <c r="DR24" i="5"/>
  <c r="DR25" i="5"/>
  <c r="DR26" i="5"/>
  <c r="DR27" i="5"/>
  <c r="DR28" i="5"/>
  <c r="DR29" i="5"/>
  <c r="DR30" i="5"/>
  <c r="DR31" i="5"/>
  <c r="DR32" i="5"/>
  <c r="DR33" i="5"/>
  <c r="DR34" i="5"/>
  <c r="DR35" i="5"/>
  <c r="DR36" i="5"/>
  <c r="DR37" i="5"/>
  <c r="DR38" i="5"/>
  <c r="DR39" i="5"/>
  <c r="DR40" i="5"/>
  <c r="DR41" i="5"/>
  <c r="DR42" i="5"/>
  <c r="DR43" i="5"/>
  <c r="DR44" i="5"/>
  <c r="DR45" i="5"/>
  <c r="DR46" i="5"/>
  <c r="DR47" i="5"/>
  <c r="DR48" i="5"/>
  <c r="DR49" i="5"/>
  <c r="DR50" i="5"/>
  <c r="DR51" i="5"/>
  <c r="DR52" i="5"/>
  <c r="DR53" i="5"/>
  <c r="DR54" i="5"/>
  <c r="DR55" i="5"/>
  <c r="DR56" i="5"/>
  <c r="DR57" i="5"/>
  <c r="DR58" i="5"/>
  <c r="DR59" i="5"/>
  <c r="DR60" i="5"/>
  <c r="DR61" i="5"/>
  <c r="DR62" i="5"/>
  <c r="DR63" i="5"/>
  <c r="DR64" i="5"/>
  <c r="DR65" i="5"/>
  <c r="DR66" i="5"/>
  <c r="DR67" i="5"/>
  <c r="DR68" i="5"/>
  <c r="DR69" i="5"/>
  <c r="DR70" i="5"/>
  <c r="DR71" i="5"/>
  <c r="DR72" i="5"/>
  <c r="DR73" i="5"/>
  <c r="DR74" i="5"/>
  <c r="DR75" i="5"/>
  <c r="DR76" i="5"/>
  <c r="DR77" i="5"/>
  <c r="DR78" i="5"/>
  <c r="DR79" i="5"/>
  <c r="DR80" i="5"/>
  <c r="DR81" i="5"/>
  <c r="DR82" i="5"/>
  <c r="DR2" i="5"/>
  <c r="DQ3" i="5"/>
  <c r="DQ4" i="5"/>
  <c r="DQ5" i="5"/>
  <c r="DQ6" i="5"/>
  <c r="DQ7" i="5"/>
  <c r="DQ8" i="5"/>
  <c r="DQ9" i="5"/>
  <c r="DQ10" i="5"/>
  <c r="DQ11" i="5"/>
  <c r="DQ12" i="5"/>
  <c r="DQ13" i="5"/>
  <c r="DQ14" i="5"/>
  <c r="DQ15" i="5"/>
  <c r="DQ16" i="5"/>
  <c r="DQ17" i="5"/>
  <c r="DQ18" i="5"/>
  <c r="DQ19" i="5"/>
  <c r="DQ20" i="5"/>
  <c r="DQ21" i="5"/>
  <c r="DQ22" i="5"/>
  <c r="DQ23" i="5"/>
  <c r="DQ24" i="5"/>
  <c r="DQ25" i="5"/>
  <c r="DQ26" i="5"/>
  <c r="DQ27" i="5"/>
  <c r="DQ28" i="5"/>
  <c r="DQ29" i="5"/>
  <c r="DQ30" i="5"/>
  <c r="DQ31" i="5"/>
  <c r="DQ32" i="5"/>
  <c r="DQ33" i="5"/>
  <c r="DQ34" i="5"/>
  <c r="DQ35" i="5"/>
  <c r="DQ36" i="5"/>
  <c r="DQ37" i="5"/>
  <c r="DQ38" i="5"/>
  <c r="DQ39" i="5"/>
  <c r="DQ40" i="5"/>
  <c r="DQ41" i="5"/>
  <c r="DQ42" i="5"/>
  <c r="DQ43" i="5"/>
  <c r="DQ44" i="5"/>
  <c r="DQ45" i="5"/>
  <c r="DQ46" i="5"/>
  <c r="DQ47" i="5"/>
  <c r="DQ48" i="5"/>
  <c r="DQ49" i="5"/>
  <c r="DQ50" i="5"/>
  <c r="DQ51" i="5"/>
  <c r="DQ52" i="5"/>
  <c r="DQ53" i="5"/>
  <c r="DQ54" i="5"/>
  <c r="DQ55" i="5"/>
  <c r="DQ56" i="5"/>
  <c r="DQ57" i="5"/>
  <c r="DQ58" i="5"/>
  <c r="DQ59" i="5"/>
  <c r="DQ60" i="5"/>
  <c r="DQ61" i="5"/>
  <c r="DQ62" i="5"/>
  <c r="DQ63" i="5"/>
  <c r="DQ64" i="5"/>
  <c r="DQ65" i="5"/>
  <c r="DQ66" i="5"/>
  <c r="DQ67" i="5"/>
  <c r="DQ68" i="5"/>
  <c r="DQ69" i="5"/>
  <c r="DQ70" i="5"/>
  <c r="DQ71" i="5"/>
  <c r="DQ72" i="5"/>
  <c r="DQ73" i="5"/>
  <c r="DQ74" i="5"/>
  <c r="DQ75" i="5"/>
  <c r="DQ76" i="5"/>
  <c r="DQ77" i="5"/>
  <c r="DQ78" i="5"/>
  <c r="DQ79" i="5"/>
  <c r="DQ80" i="5"/>
  <c r="DQ81" i="5"/>
  <c r="DQ82" i="5"/>
  <c r="DQ2" i="5"/>
  <c r="DP3" i="5"/>
  <c r="DP4" i="5"/>
  <c r="DP5" i="5"/>
  <c r="DP6" i="5"/>
  <c r="DP7" i="5"/>
  <c r="DP8" i="5"/>
  <c r="DP9" i="5"/>
  <c r="DP10" i="5"/>
  <c r="DP11" i="5"/>
  <c r="DP12" i="5"/>
  <c r="DP13" i="5"/>
  <c r="DP14" i="5"/>
  <c r="DP15" i="5"/>
  <c r="DP16" i="5"/>
  <c r="DP17" i="5"/>
  <c r="DP18" i="5"/>
  <c r="DP19" i="5"/>
  <c r="DP20" i="5"/>
  <c r="DP21" i="5"/>
  <c r="DP22" i="5"/>
  <c r="DP23" i="5"/>
  <c r="DP24" i="5"/>
  <c r="DP25" i="5"/>
  <c r="DP26" i="5"/>
  <c r="DP27" i="5"/>
  <c r="DP28" i="5"/>
  <c r="DP29" i="5"/>
  <c r="DP30" i="5"/>
  <c r="DP31" i="5"/>
  <c r="DP32" i="5"/>
  <c r="DP33" i="5"/>
  <c r="DP34" i="5"/>
  <c r="DP35" i="5"/>
  <c r="DP36" i="5"/>
  <c r="DP37" i="5"/>
  <c r="DP38" i="5"/>
  <c r="DP39" i="5"/>
  <c r="DP40" i="5"/>
  <c r="DP41" i="5"/>
  <c r="DP42" i="5"/>
  <c r="DP43" i="5"/>
  <c r="DP44" i="5"/>
  <c r="DP45" i="5"/>
  <c r="DP46" i="5"/>
  <c r="DP47" i="5"/>
  <c r="DP48" i="5"/>
  <c r="DP49" i="5"/>
  <c r="DP50" i="5"/>
  <c r="DP51" i="5"/>
  <c r="DP52" i="5"/>
  <c r="DP53" i="5"/>
  <c r="DP54" i="5"/>
  <c r="DP55" i="5"/>
  <c r="DP56" i="5"/>
  <c r="DP57" i="5"/>
  <c r="DP58" i="5"/>
  <c r="DP59" i="5"/>
  <c r="DP60" i="5"/>
  <c r="DP61" i="5"/>
  <c r="DP62" i="5"/>
  <c r="DP63" i="5"/>
  <c r="DP64" i="5"/>
  <c r="DP65" i="5"/>
  <c r="DP66" i="5"/>
  <c r="DP67" i="5"/>
  <c r="DP68" i="5"/>
  <c r="DP69" i="5"/>
  <c r="DP70" i="5"/>
  <c r="DP71" i="5"/>
  <c r="DP72" i="5"/>
  <c r="DP73" i="5"/>
  <c r="DP74" i="5"/>
  <c r="DP75" i="5"/>
  <c r="DP76" i="5"/>
  <c r="DP77" i="5"/>
  <c r="DP78" i="5"/>
  <c r="DP79" i="5"/>
  <c r="DP80" i="5"/>
  <c r="DP81" i="5"/>
  <c r="DP82" i="5"/>
  <c r="DP2" i="5"/>
  <c r="DO3" i="5"/>
  <c r="DO4" i="5"/>
  <c r="DO5" i="5"/>
  <c r="DO6" i="5"/>
  <c r="DO7" i="5"/>
  <c r="DO8" i="5"/>
  <c r="DO9" i="5"/>
  <c r="DO10" i="5"/>
  <c r="DO11" i="5"/>
  <c r="DO12" i="5"/>
  <c r="DO13" i="5"/>
  <c r="DO14" i="5"/>
  <c r="DO15" i="5"/>
  <c r="DO16" i="5"/>
  <c r="DO17" i="5"/>
  <c r="DO18" i="5"/>
  <c r="DO19" i="5"/>
  <c r="DO20" i="5"/>
  <c r="DO21" i="5"/>
  <c r="DO22" i="5"/>
  <c r="DO23" i="5"/>
  <c r="DO24" i="5"/>
  <c r="DO25" i="5"/>
  <c r="DO26" i="5"/>
  <c r="DO27" i="5"/>
  <c r="DO28" i="5"/>
  <c r="DO29" i="5"/>
  <c r="DO30" i="5"/>
  <c r="DO31" i="5"/>
  <c r="DO32" i="5"/>
  <c r="DO33" i="5"/>
  <c r="DO34" i="5"/>
  <c r="DO35" i="5"/>
  <c r="DO36" i="5"/>
  <c r="DO37" i="5"/>
  <c r="DO38" i="5"/>
  <c r="DO39" i="5"/>
  <c r="DO40" i="5"/>
  <c r="DO41" i="5"/>
  <c r="DO42" i="5"/>
  <c r="DO43" i="5"/>
  <c r="DO44" i="5"/>
  <c r="DO45" i="5"/>
  <c r="DO46" i="5"/>
  <c r="DO47" i="5"/>
  <c r="DO48" i="5"/>
  <c r="DO49" i="5"/>
  <c r="DO50" i="5"/>
  <c r="DO51" i="5"/>
  <c r="DO52" i="5"/>
  <c r="DO53" i="5"/>
  <c r="DO54" i="5"/>
  <c r="DO55" i="5"/>
  <c r="DO56" i="5"/>
  <c r="DO57" i="5"/>
  <c r="DO58" i="5"/>
  <c r="DO59" i="5"/>
  <c r="DO60" i="5"/>
  <c r="DO61" i="5"/>
  <c r="DO62" i="5"/>
  <c r="DO63" i="5"/>
  <c r="DO64" i="5"/>
  <c r="DO65" i="5"/>
  <c r="DO66" i="5"/>
  <c r="DO67" i="5"/>
  <c r="DO68" i="5"/>
  <c r="DO69" i="5"/>
  <c r="DO70" i="5"/>
  <c r="DO71" i="5"/>
  <c r="DO72" i="5"/>
  <c r="DO73" i="5"/>
  <c r="DO74" i="5"/>
  <c r="DO75" i="5"/>
  <c r="DO76" i="5"/>
  <c r="DO77" i="5"/>
  <c r="DO78" i="5"/>
  <c r="DO79" i="5"/>
  <c r="DO80" i="5"/>
  <c r="DO81" i="5"/>
  <c r="DO82" i="5"/>
  <c r="DO2" i="5"/>
  <c r="DN3" i="5"/>
  <c r="DN4" i="5"/>
  <c r="DN5" i="5"/>
  <c r="DN6" i="5"/>
  <c r="DN7" i="5"/>
  <c r="DN8" i="5"/>
  <c r="DN9" i="5"/>
  <c r="DN10" i="5"/>
  <c r="DN11" i="5"/>
  <c r="DN12" i="5"/>
  <c r="DN13" i="5"/>
  <c r="DN14" i="5"/>
  <c r="DN15" i="5"/>
  <c r="DN16" i="5"/>
  <c r="DN17" i="5"/>
  <c r="DN18" i="5"/>
  <c r="DN19" i="5"/>
  <c r="DN20" i="5"/>
  <c r="DN21" i="5"/>
  <c r="DN22" i="5"/>
  <c r="DN23" i="5"/>
  <c r="DN24" i="5"/>
  <c r="DN25" i="5"/>
  <c r="DN26" i="5"/>
  <c r="DN27" i="5"/>
  <c r="DN28" i="5"/>
  <c r="DN29" i="5"/>
  <c r="DN30" i="5"/>
  <c r="DN31" i="5"/>
  <c r="DN32" i="5"/>
  <c r="DN33" i="5"/>
  <c r="DN34" i="5"/>
  <c r="DN35" i="5"/>
  <c r="DN36" i="5"/>
  <c r="DN37" i="5"/>
  <c r="DN38" i="5"/>
  <c r="DN39" i="5"/>
  <c r="DN40" i="5"/>
  <c r="DN41" i="5"/>
  <c r="DN42" i="5"/>
  <c r="DN43" i="5"/>
  <c r="DN44" i="5"/>
  <c r="DN45" i="5"/>
  <c r="DN46" i="5"/>
  <c r="DN47" i="5"/>
  <c r="DN48" i="5"/>
  <c r="DN49" i="5"/>
  <c r="DN50" i="5"/>
  <c r="DN51" i="5"/>
  <c r="DN52" i="5"/>
  <c r="DN53" i="5"/>
  <c r="DN54" i="5"/>
  <c r="DN55" i="5"/>
  <c r="DN56" i="5"/>
  <c r="DN57" i="5"/>
  <c r="DN58" i="5"/>
  <c r="DN59" i="5"/>
  <c r="DN60" i="5"/>
  <c r="DN61" i="5"/>
  <c r="DN62" i="5"/>
  <c r="DN63" i="5"/>
  <c r="DN64" i="5"/>
  <c r="DN65" i="5"/>
  <c r="DN66" i="5"/>
  <c r="DN67" i="5"/>
  <c r="DN68" i="5"/>
  <c r="DN69" i="5"/>
  <c r="DN70" i="5"/>
  <c r="DN71" i="5"/>
  <c r="DN72" i="5"/>
  <c r="DN73" i="5"/>
  <c r="DN74" i="5"/>
  <c r="DN75" i="5"/>
  <c r="DN76" i="5"/>
  <c r="DN77" i="5"/>
  <c r="DN78" i="5"/>
  <c r="DN79" i="5"/>
  <c r="DN80" i="5"/>
  <c r="DN81" i="5"/>
  <c r="DN82" i="5"/>
  <c r="DN2" i="5"/>
  <c r="DM3" i="5"/>
  <c r="DM4" i="5"/>
  <c r="DM5" i="5"/>
  <c r="DM6" i="5"/>
  <c r="DM7" i="5"/>
  <c r="DM8" i="5"/>
  <c r="DM9" i="5"/>
  <c r="DM10" i="5"/>
  <c r="DM11" i="5"/>
  <c r="DM12" i="5"/>
  <c r="DM13" i="5"/>
  <c r="DM14" i="5"/>
  <c r="DM15" i="5"/>
  <c r="DM16" i="5"/>
  <c r="DM17" i="5"/>
  <c r="DM18" i="5"/>
  <c r="DM19" i="5"/>
  <c r="DM20" i="5"/>
  <c r="DM21" i="5"/>
  <c r="DM22" i="5"/>
  <c r="DM23" i="5"/>
  <c r="DM24" i="5"/>
  <c r="DM25" i="5"/>
  <c r="DM26" i="5"/>
  <c r="DM27" i="5"/>
  <c r="DM28" i="5"/>
  <c r="DM29" i="5"/>
  <c r="DM30" i="5"/>
  <c r="DM31" i="5"/>
  <c r="DM32" i="5"/>
  <c r="DM33" i="5"/>
  <c r="DM34" i="5"/>
  <c r="DM35" i="5"/>
  <c r="DM36" i="5"/>
  <c r="DM37" i="5"/>
  <c r="DM38" i="5"/>
  <c r="DM39" i="5"/>
  <c r="DM40" i="5"/>
  <c r="DM41" i="5"/>
  <c r="DM42" i="5"/>
  <c r="DM43" i="5"/>
  <c r="DM44" i="5"/>
  <c r="DM45" i="5"/>
  <c r="DM46" i="5"/>
  <c r="DM47" i="5"/>
  <c r="DM48" i="5"/>
  <c r="DM49" i="5"/>
  <c r="DM50" i="5"/>
  <c r="DM51" i="5"/>
  <c r="DM52" i="5"/>
  <c r="DM53" i="5"/>
  <c r="DM54" i="5"/>
  <c r="DM55" i="5"/>
  <c r="DM56" i="5"/>
  <c r="DM57" i="5"/>
  <c r="DM58" i="5"/>
  <c r="DM59" i="5"/>
  <c r="DM60" i="5"/>
  <c r="DM61" i="5"/>
  <c r="DM62" i="5"/>
  <c r="DM63" i="5"/>
  <c r="DM64" i="5"/>
  <c r="DM65" i="5"/>
  <c r="DM66" i="5"/>
  <c r="DM67" i="5"/>
  <c r="DM68" i="5"/>
  <c r="DM69" i="5"/>
  <c r="DM70" i="5"/>
  <c r="DM71" i="5"/>
  <c r="DM72" i="5"/>
  <c r="DM73" i="5"/>
  <c r="DM74" i="5"/>
  <c r="DM75" i="5"/>
  <c r="DM76" i="5"/>
  <c r="DM77" i="5"/>
  <c r="DM78" i="5"/>
  <c r="DM79" i="5"/>
  <c r="DM80" i="5"/>
  <c r="DM81" i="5"/>
  <c r="DM82" i="5"/>
  <c r="DM2" i="5"/>
  <c r="DL3" i="5"/>
  <c r="DL4" i="5"/>
  <c r="DL5" i="5"/>
  <c r="DL6" i="5"/>
  <c r="DL7" i="5"/>
  <c r="DL8" i="5"/>
  <c r="DL9" i="5"/>
  <c r="DL10" i="5"/>
  <c r="DL11" i="5"/>
  <c r="DL12" i="5"/>
  <c r="DL13" i="5"/>
  <c r="DL14" i="5"/>
  <c r="DL15" i="5"/>
  <c r="DL16" i="5"/>
  <c r="DL17" i="5"/>
  <c r="DL18" i="5"/>
  <c r="DL19" i="5"/>
  <c r="DL20" i="5"/>
  <c r="DL21" i="5"/>
  <c r="DL22" i="5"/>
  <c r="DL23" i="5"/>
  <c r="DL24" i="5"/>
  <c r="DL25" i="5"/>
  <c r="DL26" i="5"/>
  <c r="DL27" i="5"/>
  <c r="DL28" i="5"/>
  <c r="DL29" i="5"/>
  <c r="DL30" i="5"/>
  <c r="DL31" i="5"/>
  <c r="DL32" i="5"/>
  <c r="DL33" i="5"/>
  <c r="DL34" i="5"/>
  <c r="DL35" i="5"/>
  <c r="DL36" i="5"/>
  <c r="DL37" i="5"/>
  <c r="DL38" i="5"/>
  <c r="DL39" i="5"/>
  <c r="DL40" i="5"/>
  <c r="DL41" i="5"/>
  <c r="DL42" i="5"/>
  <c r="DL43" i="5"/>
  <c r="DL44" i="5"/>
  <c r="DL45" i="5"/>
  <c r="DL46" i="5"/>
  <c r="DL47" i="5"/>
  <c r="DL48" i="5"/>
  <c r="DL49" i="5"/>
  <c r="DL50" i="5"/>
  <c r="DL51" i="5"/>
  <c r="DL52" i="5"/>
  <c r="DL53" i="5"/>
  <c r="DL54" i="5"/>
  <c r="DL55" i="5"/>
  <c r="DL56" i="5"/>
  <c r="DL57" i="5"/>
  <c r="DL58" i="5"/>
  <c r="DL59" i="5"/>
  <c r="DL60" i="5"/>
  <c r="DL61" i="5"/>
  <c r="DL62" i="5"/>
  <c r="DL63" i="5"/>
  <c r="DL64" i="5"/>
  <c r="DL65" i="5"/>
  <c r="DL66" i="5"/>
  <c r="DL67" i="5"/>
  <c r="DL68" i="5"/>
  <c r="DL69" i="5"/>
  <c r="DL70" i="5"/>
  <c r="DL71" i="5"/>
  <c r="DL72" i="5"/>
  <c r="DL73" i="5"/>
  <c r="DL74" i="5"/>
  <c r="DL75" i="5"/>
  <c r="DL76" i="5"/>
  <c r="DL77" i="5"/>
  <c r="DL78" i="5"/>
  <c r="DL79" i="5"/>
  <c r="DL80" i="5"/>
  <c r="DL81" i="5"/>
  <c r="DL82" i="5"/>
  <c r="DL2" i="5"/>
  <c r="DK3" i="5"/>
  <c r="DK4" i="5"/>
  <c r="DK5" i="5"/>
  <c r="DK6" i="5"/>
  <c r="DK7" i="5"/>
  <c r="DK8" i="5"/>
  <c r="DK9" i="5"/>
  <c r="DK10" i="5"/>
  <c r="DK11" i="5"/>
  <c r="DK12" i="5"/>
  <c r="DK13" i="5"/>
  <c r="DK14" i="5"/>
  <c r="DK15" i="5"/>
  <c r="DK16" i="5"/>
  <c r="DK17" i="5"/>
  <c r="DK18" i="5"/>
  <c r="DK19" i="5"/>
  <c r="DK20" i="5"/>
  <c r="DK21" i="5"/>
  <c r="DK22" i="5"/>
  <c r="DK23" i="5"/>
  <c r="DK24" i="5"/>
  <c r="DK25" i="5"/>
  <c r="DK26" i="5"/>
  <c r="DK27" i="5"/>
  <c r="DK28" i="5"/>
  <c r="DK29" i="5"/>
  <c r="DK30" i="5"/>
  <c r="DK31" i="5"/>
  <c r="DK32" i="5"/>
  <c r="DK33" i="5"/>
  <c r="DK34" i="5"/>
  <c r="DK35" i="5"/>
  <c r="DK36" i="5"/>
  <c r="DK37" i="5"/>
  <c r="DK38" i="5"/>
  <c r="DK39" i="5"/>
  <c r="DK40" i="5"/>
  <c r="DK41" i="5"/>
  <c r="DK42" i="5"/>
  <c r="DK43" i="5"/>
  <c r="DK44" i="5"/>
  <c r="DK45" i="5"/>
  <c r="DK46" i="5"/>
  <c r="DK47" i="5"/>
  <c r="DK48" i="5"/>
  <c r="DK49" i="5"/>
  <c r="DK50" i="5"/>
  <c r="DK51" i="5"/>
  <c r="DK52" i="5"/>
  <c r="DK53" i="5"/>
  <c r="DK54" i="5"/>
  <c r="DK55" i="5"/>
  <c r="DK56" i="5"/>
  <c r="DK57" i="5"/>
  <c r="DK58" i="5"/>
  <c r="DK59" i="5"/>
  <c r="DK60" i="5"/>
  <c r="DK61" i="5"/>
  <c r="DK62" i="5"/>
  <c r="DK63" i="5"/>
  <c r="DK64" i="5"/>
  <c r="DK65" i="5"/>
  <c r="DK66" i="5"/>
  <c r="DK67" i="5"/>
  <c r="DK68" i="5"/>
  <c r="DK69" i="5"/>
  <c r="DK70" i="5"/>
  <c r="DK71" i="5"/>
  <c r="DK72" i="5"/>
  <c r="DK73" i="5"/>
  <c r="DK74" i="5"/>
  <c r="DK75" i="5"/>
  <c r="DK76" i="5"/>
  <c r="DK77" i="5"/>
  <c r="DK78" i="5"/>
  <c r="DK79" i="5"/>
  <c r="DK80" i="5"/>
  <c r="DK81" i="5"/>
  <c r="DK82" i="5"/>
  <c r="DK2" i="5"/>
  <c r="DJ3" i="5"/>
  <c r="DJ4" i="5"/>
  <c r="DJ5" i="5"/>
  <c r="DJ6" i="5"/>
  <c r="DJ7" i="5"/>
  <c r="DJ8" i="5"/>
  <c r="DJ9" i="5"/>
  <c r="DJ10" i="5"/>
  <c r="DJ11" i="5"/>
  <c r="DJ12" i="5"/>
  <c r="DJ13" i="5"/>
  <c r="DJ14" i="5"/>
  <c r="DJ15" i="5"/>
  <c r="DJ16" i="5"/>
  <c r="DJ17" i="5"/>
  <c r="DJ18" i="5"/>
  <c r="DJ19" i="5"/>
  <c r="DJ20" i="5"/>
  <c r="DJ21" i="5"/>
  <c r="DJ22" i="5"/>
  <c r="DJ23" i="5"/>
  <c r="DJ24" i="5"/>
  <c r="DJ25" i="5"/>
  <c r="DJ26" i="5"/>
  <c r="DJ27" i="5"/>
  <c r="DJ28" i="5"/>
  <c r="DJ29" i="5"/>
  <c r="DJ30" i="5"/>
  <c r="DJ31" i="5"/>
  <c r="DJ32" i="5"/>
  <c r="DJ33" i="5"/>
  <c r="DJ34" i="5"/>
  <c r="DJ35" i="5"/>
  <c r="DJ36" i="5"/>
  <c r="DJ37" i="5"/>
  <c r="DJ38" i="5"/>
  <c r="DJ39" i="5"/>
  <c r="DJ40" i="5"/>
  <c r="DJ41" i="5"/>
  <c r="DJ42" i="5"/>
  <c r="DJ43" i="5"/>
  <c r="DJ44" i="5"/>
  <c r="DJ45" i="5"/>
  <c r="DJ46" i="5"/>
  <c r="DJ47" i="5"/>
  <c r="DJ48" i="5"/>
  <c r="DJ49" i="5"/>
  <c r="DJ50" i="5"/>
  <c r="DJ51" i="5"/>
  <c r="DJ52" i="5"/>
  <c r="DJ53" i="5"/>
  <c r="DJ54" i="5"/>
  <c r="DJ55" i="5"/>
  <c r="DJ56" i="5"/>
  <c r="DJ57" i="5"/>
  <c r="DJ58" i="5"/>
  <c r="DJ59" i="5"/>
  <c r="DJ60" i="5"/>
  <c r="DJ61" i="5"/>
  <c r="DJ62" i="5"/>
  <c r="DJ63" i="5"/>
  <c r="DJ64" i="5"/>
  <c r="DJ65" i="5"/>
  <c r="DJ66" i="5"/>
  <c r="DJ67" i="5"/>
  <c r="DJ68" i="5"/>
  <c r="DJ69" i="5"/>
  <c r="DJ70" i="5"/>
  <c r="DJ71" i="5"/>
  <c r="DJ72" i="5"/>
  <c r="DJ73" i="5"/>
  <c r="DJ74" i="5"/>
  <c r="DJ75" i="5"/>
  <c r="DJ76" i="5"/>
  <c r="DJ77" i="5"/>
  <c r="DJ78" i="5"/>
  <c r="DJ79" i="5"/>
  <c r="DJ80" i="5"/>
  <c r="DJ81" i="5"/>
  <c r="DJ82" i="5"/>
  <c r="DJ2" i="5"/>
  <c r="DI3" i="5"/>
  <c r="DI4" i="5"/>
  <c r="DI5" i="5"/>
  <c r="DI6" i="5"/>
  <c r="DI7" i="5"/>
  <c r="DI8" i="5"/>
  <c r="DI9" i="5"/>
  <c r="DI10" i="5"/>
  <c r="DI11" i="5"/>
  <c r="DI12" i="5"/>
  <c r="DI13" i="5"/>
  <c r="DI14" i="5"/>
  <c r="DI15" i="5"/>
  <c r="DI16" i="5"/>
  <c r="DI17" i="5"/>
  <c r="DI18" i="5"/>
  <c r="DI19" i="5"/>
  <c r="DI20" i="5"/>
  <c r="DI21" i="5"/>
  <c r="DI22" i="5"/>
  <c r="DI23" i="5"/>
  <c r="DI24" i="5"/>
  <c r="DI25" i="5"/>
  <c r="DI26" i="5"/>
  <c r="DI27" i="5"/>
  <c r="DI28" i="5"/>
  <c r="DI29" i="5"/>
  <c r="DI30" i="5"/>
  <c r="DI31" i="5"/>
  <c r="DI32" i="5"/>
  <c r="DI33" i="5"/>
  <c r="DI34" i="5"/>
  <c r="DI35" i="5"/>
  <c r="DI36" i="5"/>
  <c r="DI37" i="5"/>
  <c r="DI38" i="5"/>
  <c r="DI39" i="5"/>
  <c r="DI40" i="5"/>
  <c r="DI41" i="5"/>
  <c r="DI42" i="5"/>
  <c r="DI43" i="5"/>
  <c r="DI44" i="5"/>
  <c r="DI45" i="5"/>
  <c r="DI46" i="5"/>
  <c r="DI47" i="5"/>
  <c r="DI48" i="5"/>
  <c r="DI49" i="5"/>
  <c r="DI50" i="5"/>
  <c r="DI51" i="5"/>
  <c r="DI52" i="5"/>
  <c r="DI53" i="5"/>
  <c r="DI54" i="5"/>
  <c r="DI55" i="5"/>
  <c r="DI56" i="5"/>
  <c r="DI57" i="5"/>
  <c r="DI58" i="5"/>
  <c r="DI59" i="5"/>
  <c r="DI60" i="5"/>
  <c r="DI61" i="5"/>
  <c r="DI62" i="5"/>
  <c r="DI63" i="5"/>
  <c r="DI64" i="5"/>
  <c r="DI65" i="5"/>
  <c r="DI66" i="5"/>
  <c r="DI67" i="5"/>
  <c r="DI68" i="5"/>
  <c r="DI69" i="5"/>
  <c r="DI70" i="5"/>
  <c r="DI71" i="5"/>
  <c r="DI72" i="5"/>
  <c r="DI73" i="5"/>
  <c r="DI74" i="5"/>
  <c r="DI75" i="5"/>
  <c r="DI76" i="5"/>
  <c r="DI77" i="5"/>
  <c r="DI78" i="5"/>
  <c r="DI79" i="5"/>
  <c r="DI80" i="5"/>
  <c r="DI81" i="5"/>
  <c r="DI82" i="5"/>
  <c r="DI2" i="5"/>
  <c r="DH3" i="5"/>
  <c r="DH4" i="5"/>
  <c r="DH5" i="5"/>
  <c r="DH6" i="5"/>
  <c r="DH7" i="5"/>
  <c r="DH8" i="5"/>
  <c r="DH9" i="5"/>
  <c r="DH10" i="5"/>
  <c r="DH11" i="5"/>
  <c r="DH12" i="5"/>
  <c r="DH13" i="5"/>
  <c r="DH14" i="5"/>
  <c r="DH15" i="5"/>
  <c r="DH16" i="5"/>
  <c r="DH17" i="5"/>
  <c r="DH18" i="5"/>
  <c r="DH19" i="5"/>
  <c r="DH20" i="5"/>
  <c r="DH21" i="5"/>
  <c r="DH22" i="5"/>
  <c r="DH23" i="5"/>
  <c r="DH24" i="5"/>
  <c r="DH25" i="5"/>
  <c r="DH26" i="5"/>
  <c r="DH27" i="5"/>
  <c r="DH28" i="5"/>
  <c r="DH29" i="5"/>
  <c r="DH30" i="5"/>
  <c r="DH31" i="5"/>
  <c r="DH32" i="5"/>
  <c r="DH33" i="5"/>
  <c r="DH34" i="5"/>
  <c r="DH35" i="5"/>
  <c r="DH36" i="5"/>
  <c r="DH37" i="5"/>
  <c r="DH38" i="5"/>
  <c r="DH39" i="5"/>
  <c r="DH40" i="5"/>
  <c r="DH41" i="5"/>
  <c r="DH42" i="5"/>
  <c r="DH43" i="5"/>
  <c r="DH44" i="5"/>
  <c r="DH45" i="5"/>
  <c r="DH46" i="5"/>
  <c r="DH47" i="5"/>
  <c r="DH48" i="5"/>
  <c r="DH49" i="5"/>
  <c r="DH50" i="5"/>
  <c r="DH51" i="5"/>
  <c r="DH52" i="5"/>
  <c r="DH53" i="5"/>
  <c r="DH54" i="5"/>
  <c r="DH55" i="5"/>
  <c r="DH56" i="5"/>
  <c r="DH57" i="5"/>
  <c r="DH58" i="5"/>
  <c r="DH59" i="5"/>
  <c r="DH60" i="5"/>
  <c r="DH61" i="5"/>
  <c r="DH62" i="5"/>
  <c r="DH63" i="5"/>
  <c r="DH64" i="5"/>
  <c r="DH65" i="5"/>
  <c r="DH66" i="5"/>
  <c r="DH67" i="5"/>
  <c r="DH68" i="5"/>
  <c r="DH69" i="5"/>
  <c r="DH70" i="5"/>
  <c r="DH71" i="5"/>
  <c r="DH72" i="5"/>
  <c r="DH73" i="5"/>
  <c r="DH74" i="5"/>
  <c r="DH75" i="5"/>
  <c r="DH76" i="5"/>
  <c r="DH77" i="5"/>
  <c r="DH78" i="5"/>
  <c r="DH79" i="5"/>
  <c r="DH80" i="5"/>
  <c r="DH81" i="5"/>
  <c r="DH82" i="5"/>
  <c r="DH2" i="5"/>
  <c r="DG3" i="5"/>
  <c r="DG4" i="5"/>
  <c r="DG5" i="5"/>
  <c r="DG6" i="5"/>
  <c r="DG7" i="5"/>
  <c r="DG8" i="5"/>
  <c r="DG9" i="5"/>
  <c r="DG10" i="5"/>
  <c r="DG11" i="5"/>
  <c r="DG12" i="5"/>
  <c r="DG13" i="5"/>
  <c r="DG14" i="5"/>
  <c r="DG15" i="5"/>
  <c r="DG16" i="5"/>
  <c r="DG17" i="5"/>
  <c r="DG18" i="5"/>
  <c r="DG19" i="5"/>
  <c r="DG20" i="5"/>
  <c r="DG21" i="5"/>
  <c r="DG22" i="5"/>
  <c r="DG23" i="5"/>
  <c r="DG24" i="5"/>
  <c r="DG25" i="5"/>
  <c r="DG26" i="5"/>
  <c r="DG27" i="5"/>
  <c r="DG28" i="5"/>
  <c r="DG29" i="5"/>
  <c r="DG30" i="5"/>
  <c r="DG31" i="5"/>
  <c r="DG32" i="5"/>
  <c r="DG33" i="5"/>
  <c r="DG34" i="5"/>
  <c r="DG35" i="5"/>
  <c r="DG36" i="5"/>
  <c r="DG37" i="5"/>
  <c r="DG38" i="5"/>
  <c r="DG39" i="5"/>
  <c r="DG40" i="5"/>
  <c r="DG41" i="5"/>
  <c r="DG42" i="5"/>
  <c r="DG43" i="5"/>
  <c r="DG44" i="5"/>
  <c r="DG45" i="5"/>
  <c r="DG46" i="5"/>
  <c r="DG47" i="5"/>
  <c r="DG48" i="5"/>
  <c r="DG49" i="5"/>
  <c r="DG50" i="5"/>
  <c r="DG51" i="5"/>
  <c r="DG52" i="5"/>
  <c r="DG53" i="5"/>
  <c r="DG54" i="5"/>
  <c r="DG55" i="5"/>
  <c r="DG56" i="5"/>
  <c r="DG57" i="5"/>
  <c r="DG58" i="5"/>
  <c r="DG59" i="5"/>
  <c r="DG60" i="5"/>
  <c r="DG61" i="5"/>
  <c r="DG62" i="5"/>
  <c r="DG63" i="5"/>
  <c r="DG64" i="5"/>
  <c r="DG65" i="5"/>
  <c r="DG66" i="5"/>
  <c r="DG67" i="5"/>
  <c r="DG68" i="5"/>
  <c r="DG69" i="5"/>
  <c r="DG70" i="5"/>
  <c r="DG71" i="5"/>
  <c r="DG72" i="5"/>
  <c r="DG73" i="5"/>
  <c r="DG74" i="5"/>
  <c r="DG75" i="5"/>
  <c r="DG76" i="5"/>
  <c r="DG77" i="5"/>
  <c r="DG78" i="5"/>
  <c r="DG79" i="5"/>
  <c r="DG80" i="5"/>
  <c r="DG81" i="5"/>
  <c r="DG82" i="5"/>
  <c r="DG2" i="5"/>
  <c r="DF3" i="5"/>
  <c r="DF4" i="5"/>
  <c r="DF5" i="5"/>
  <c r="DF6" i="5"/>
  <c r="DF7" i="5"/>
  <c r="DF8" i="5"/>
  <c r="DF9" i="5"/>
  <c r="DF10" i="5"/>
  <c r="DF11" i="5"/>
  <c r="DF12" i="5"/>
  <c r="DF13" i="5"/>
  <c r="DF14" i="5"/>
  <c r="DF15" i="5"/>
  <c r="DF16" i="5"/>
  <c r="DF17" i="5"/>
  <c r="DF18" i="5"/>
  <c r="DF19" i="5"/>
  <c r="DF20" i="5"/>
  <c r="DF21" i="5"/>
  <c r="DF22" i="5"/>
  <c r="DF23" i="5"/>
  <c r="DF24" i="5"/>
  <c r="DF25" i="5"/>
  <c r="DF26" i="5"/>
  <c r="DF27" i="5"/>
  <c r="DF28" i="5"/>
  <c r="DF29" i="5"/>
  <c r="DF30" i="5"/>
  <c r="DF31" i="5"/>
  <c r="DF32" i="5"/>
  <c r="DF33" i="5"/>
  <c r="DF34" i="5"/>
  <c r="DF35" i="5"/>
  <c r="DF36" i="5"/>
  <c r="DF37" i="5"/>
  <c r="DF38" i="5"/>
  <c r="DF39" i="5"/>
  <c r="DF40" i="5"/>
  <c r="DF41" i="5"/>
  <c r="DF42" i="5"/>
  <c r="DF43" i="5"/>
  <c r="DF44" i="5"/>
  <c r="DF45" i="5"/>
  <c r="DF46" i="5"/>
  <c r="DF47" i="5"/>
  <c r="DF48" i="5"/>
  <c r="DF49" i="5"/>
  <c r="DF50" i="5"/>
  <c r="DF51" i="5"/>
  <c r="DF52" i="5"/>
  <c r="DF53" i="5"/>
  <c r="DF54" i="5"/>
  <c r="DF55" i="5"/>
  <c r="DF56" i="5"/>
  <c r="DF57" i="5"/>
  <c r="DF58" i="5"/>
  <c r="DF59" i="5"/>
  <c r="DF60" i="5"/>
  <c r="DF61" i="5"/>
  <c r="DF62" i="5"/>
  <c r="DF63" i="5"/>
  <c r="DF64" i="5"/>
  <c r="DF65" i="5"/>
  <c r="DF66" i="5"/>
  <c r="DF67" i="5"/>
  <c r="DF68" i="5"/>
  <c r="DF69" i="5"/>
  <c r="DF70" i="5"/>
  <c r="DF71" i="5"/>
  <c r="DF72" i="5"/>
  <c r="DF73" i="5"/>
  <c r="DF74" i="5"/>
  <c r="DF75" i="5"/>
  <c r="DF76" i="5"/>
  <c r="DF77" i="5"/>
  <c r="DF78" i="5"/>
  <c r="DF79" i="5"/>
  <c r="DF80" i="5"/>
  <c r="DF81" i="5"/>
  <c r="DF82" i="5"/>
  <c r="DF2" i="5"/>
  <c r="DE3" i="5"/>
  <c r="DE4" i="5"/>
  <c r="DE5" i="5"/>
  <c r="DE6" i="5"/>
  <c r="DE7" i="5"/>
  <c r="DE8" i="5"/>
  <c r="DE9" i="5"/>
  <c r="DE10" i="5"/>
  <c r="DE11" i="5"/>
  <c r="DE12" i="5"/>
  <c r="DE13" i="5"/>
  <c r="DE14" i="5"/>
  <c r="DE15" i="5"/>
  <c r="DE16" i="5"/>
  <c r="DE17" i="5"/>
  <c r="DE18" i="5"/>
  <c r="DE19" i="5"/>
  <c r="DE20" i="5"/>
  <c r="DE21" i="5"/>
  <c r="DE22" i="5"/>
  <c r="DE23" i="5"/>
  <c r="DE24" i="5"/>
  <c r="DE25" i="5"/>
  <c r="DE26" i="5"/>
  <c r="DE27" i="5"/>
  <c r="DE28" i="5"/>
  <c r="DE29" i="5"/>
  <c r="DE30" i="5"/>
  <c r="DE31" i="5"/>
  <c r="DE32" i="5"/>
  <c r="DE33" i="5"/>
  <c r="DE34" i="5"/>
  <c r="DE35" i="5"/>
  <c r="DE36" i="5"/>
  <c r="DE37" i="5"/>
  <c r="DE38" i="5"/>
  <c r="DE39" i="5"/>
  <c r="DE40" i="5"/>
  <c r="DE41" i="5"/>
  <c r="DE42" i="5"/>
  <c r="DE43" i="5"/>
  <c r="DE44" i="5"/>
  <c r="DE45" i="5"/>
  <c r="DE46" i="5"/>
  <c r="DE47" i="5"/>
  <c r="DE48" i="5"/>
  <c r="DE49" i="5"/>
  <c r="DE50" i="5"/>
  <c r="DE51" i="5"/>
  <c r="DE52" i="5"/>
  <c r="DE53" i="5"/>
  <c r="DE54" i="5"/>
  <c r="DE55" i="5"/>
  <c r="DE56" i="5"/>
  <c r="DE57" i="5"/>
  <c r="DE58" i="5"/>
  <c r="DE59" i="5"/>
  <c r="DE60" i="5"/>
  <c r="DE61" i="5"/>
  <c r="DE62" i="5"/>
  <c r="DE63" i="5"/>
  <c r="DE64" i="5"/>
  <c r="DE65" i="5"/>
  <c r="DE66" i="5"/>
  <c r="DE67" i="5"/>
  <c r="DE68" i="5"/>
  <c r="DE69" i="5"/>
  <c r="DE70" i="5"/>
  <c r="DE71" i="5"/>
  <c r="DE72" i="5"/>
  <c r="DE73" i="5"/>
  <c r="DE74" i="5"/>
  <c r="DE75" i="5"/>
  <c r="DE76" i="5"/>
  <c r="DE77" i="5"/>
  <c r="DE78" i="5"/>
  <c r="DE79" i="5"/>
  <c r="DE80" i="5"/>
  <c r="DE81" i="5"/>
  <c r="DE82" i="5"/>
  <c r="DE2" i="5"/>
  <c r="DB3" i="5"/>
  <c r="DB4" i="5"/>
  <c r="DB5" i="5"/>
  <c r="DB6" i="5"/>
  <c r="DB7" i="5"/>
  <c r="DB8" i="5"/>
  <c r="DB9" i="5"/>
  <c r="DB10" i="5"/>
  <c r="DB11" i="5"/>
  <c r="DB12" i="5"/>
  <c r="DB13" i="5"/>
  <c r="DB14" i="5"/>
  <c r="DB15" i="5"/>
  <c r="DB16" i="5"/>
  <c r="DB17" i="5"/>
  <c r="DB18" i="5"/>
  <c r="DB19" i="5"/>
  <c r="DB20" i="5"/>
  <c r="DB21" i="5"/>
  <c r="DB22" i="5"/>
  <c r="DB23" i="5"/>
  <c r="DB24" i="5"/>
  <c r="DB25" i="5"/>
  <c r="DB26" i="5"/>
  <c r="DB27" i="5"/>
  <c r="DB28" i="5"/>
  <c r="DB29" i="5"/>
  <c r="DB30" i="5"/>
  <c r="DB31" i="5"/>
  <c r="DB32" i="5"/>
  <c r="DB33" i="5"/>
  <c r="DB34" i="5"/>
  <c r="DB35" i="5"/>
  <c r="DB36" i="5"/>
  <c r="DB37" i="5"/>
  <c r="DB38" i="5"/>
  <c r="DB39" i="5"/>
  <c r="DB40" i="5"/>
  <c r="DB41" i="5"/>
  <c r="DB42" i="5"/>
  <c r="DB43" i="5"/>
  <c r="DB44" i="5"/>
  <c r="DB45" i="5"/>
  <c r="DB46" i="5"/>
  <c r="DB47" i="5"/>
  <c r="DB48" i="5"/>
  <c r="DB49" i="5"/>
  <c r="DB50" i="5"/>
  <c r="DB51" i="5"/>
  <c r="DB52" i="5"/>
  <c r="DB53" i="5"/>
  <c r="DB54" i="5"/>
  <c r="DB55" i="5"/>
  <c r="DB56" i="5"/>
  <c r="DB57" i="5"/>
  <c r="DB58" i="5"/>
  <c r="DB59" i="5"/>
  <c r="DB60" i="5"/>
  <c r="DB61" i="5"/>
  <c r="DB62" i="5"/>
  <c r="DB63" i="5"/>
  <c r="DB64" i="5"/>
  <c r="DB65" i="5"/>
  <c r="DB66" i="5"/>
  <c r="DB67" i="5"/>
  <c r="DB68" i="5"/>
  <c r="DB69" i="5"/>
  <c r="DB70" i="5"/>
  <c r="DB71" i="5"/>
  <c r="DB72" i="5"/>
  <c r="DB73" i="5"/>
  <c r="DB74" i="5"/>
  <c r="DB75" i="5"/>
  <c r="DB76" i="5"/>
  <c r="DB77" i="5"/>
  <c r="DB78" i="5"/>
  <c r="DB79" i="5"/>
  <c r="DB80" i="5"/>
  <c r="DB81" i="5"/>
  <c r="DB82" i="5"/>
  <c r="DB2" i="5"/>
  <c r="CS3" i="4"/>
  <c r="CS4" i="4"/>
  <c r="CS5" i="4"/>
  <c r="CS6" i="4"/>
  <c r="CS7" i="4"/>
  <c r="CS8" i="4"/>
  <c r="CS9" i="4"/>
  <c r="CS10" i="4"/>
  <c r="CS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41" i="4"/>
  <c r="CS42" i="4"/>
  <c r="CS43" i="4"/>
  <c r="CS44" i="4"/>
  <c r="CS45" i="4"/>
  <c r="CS46" i="4"/>
  <c r="CS47" i="4"/>
  <c r="CS48" i="4"/>
  <c r="CS49" i="4"/>
  <c r="CS50" i="4"/>
  <c r="CS51" i="4"/>
  <c r="CS52" i="4"/>
  <c r="CS53" i="4"/>
  <c r="CS54" i="4"/>
  <c r="CS55" i="4"/>
  <c r="CS56" i="4"/>
  <c r="CS57" i="4"/>
  <c r="CS58" i="4"/>
  <c r="CS59" i="4"/>
  <c r="CS60" i="4"/>
  <c r="CS61" i="4"/>
  <c r="CS62" i="4"/>
  <c r="CS63" i="4"/>
  <c r="CS64" i="4"/>
  <c r="CS65" i="4"/>
  <c r="CS66" i="4"/>
  <c r="CS67" i="4"/>
  <c r="CS68" i="4"/>
  <c r="CS69" i="4"/>
  <c r="CS70" i="4"/>
  <c r="CS71" i="4"/>
  <c r="CS72" i="4"/>
  <c r="CS73" i="4"/>
  <c r="CS74" i="4"/>
  <c r="CS75" i="4"/>
  <c r="CS76" i="4"/>
  <c r="CS77" i="4"/>
  <c r="CS78" i="4"/>
  <c r="CS79" i="4"/>
  <c r="CS80" i="4"/>
  <c r="CS81" i="4"/>
  <c r="CS82" i="4"/>
  <c r="CS2" i="4"/>
  <c r="DD3" i="5"/>
  <c r="DD4" i="5"/>
  <c r="DD5" i="5"/>
  <c r="DD6" i="5"/>
  <c r="DD7" i="5"/>
  <c r="DD8" i="5"/>
  <c r="DD9" i="5"/>
  <c r="DD10" i="5"/>
  <c r="DD11" i="5"/>
  <c r="DD12" i="5"/>
  <c r="DD13" i="5"/>
  <c r="DD14" i="5"/>
  <c r="DD15" i="5"/>
  <c r="DD16" i="5"/>
  <c r="DD17" i="5"/>
  <c r="DD18" i="5"/>
  <c r="DD19" i="5"/>
  <c r="DD20" i="5"/>
  <c r="DD21" i="5"/>
  <c r="DD22" i="5"/>
  <c r="DD23" i="5"/>
  <c r="DD24" i="5"/>
  <c r="DD25" i="5"/>
  <c r="DD26" i="5"/>
  <c r="DD27" i="5"/>
  <c r="DD28" i="5"/>
  <c r="DD29" i="5"/>
  <c r="DD30" i="5"/>
  <c r="DD31" i="5"/>
  <c r="DD32" i="5"/>
  <c r="DD33" i="5"/>
  <c r="DD34" i="5"/>
  <c r="DD35" i="5"/>
  <c r="DD36" i="5"/>
  <c r="DD37" i="5"/>
  <c r="DD38" i="5"/>
  <c r="DD39" i="5"/>
  <c r="DD40" i="5"/>
  <c r="DD41" i="5"/>
  <c r="DD42" i="5"/>
  <c r="DD43" i="5"/>
  <c r="DD44" i="5"/>
  <c r="DD45" i="5"/>
  <c r="DD46" i="5"/>
  <c r="DD47" i="5"/>
  <c r="DD48" i="5"/>
  <c r="DD49" i="5"/>
  <c r="DD50" i="5"/>
  <c r="DD51" i="5"/>
  <c r="DD52" i="5"/>
  <c r="DD53" i="5"/>
  <c r="DD54" i="5"/>
  <c r="DD55" i="5"/>
  <c r="DD56" i="5"/>
  <c r="DD57" i="5"/>
  <c r="DD58" i="5"/>
  <c r="DD59" i="5"/>
  <c r="DD60" i="5"/>
  <c r="DD61" i="5"/>
  <c r="DD62" i="5"/>
  <c r="DD63" i="5"/>
  <c r="DD64" i="5"/>
  <c r="DD65" i="5"/>
  <c r="DD66" i="5"/>
  <c r="DD67" i="5"/>
  <c r="DD68" i="5"/>
  <c r="DD69" i="5"/>
  <c r="DD70" i="5"/>
  <c r="DD71" i="5"/>
  <c r="DD72" i="5"/>
  <c r="DD73" i="5"/>
  <c r="DD74" i="5"/>
  <c r="DD75" i="5"/>
  <c r="DD76" i="5"/>
  <c r="DD77" i="5"/>
  <c r="DD78" i="5"/>
  <c r="DD79" i="5"/>
  <c r="DD80" i="5"/>
  <c r="DD81" i="5"/>
  <c r="DD82" i="5"/>
  <c r="DD2" i="5"/>
  <c r="DC3" i="5"/>
  <c r="DC4" i="5"/>
  <c r="DC5" i="5"/>
  <c r="DC6" i="5"/>
  <c r="DC7" i="5"/>
  <c r="DC8" i="5"/>
  <c r="DC9" i="5"/>
  <c r="DC10" i="5"/>
  <c r="DC11" i="5"/>
  <c r="DC12" i="5"/>
  <c r="DC13" i="5"/>
  <c r="DC14" i="5"/>
  <c r="DC15" i="5"/>
  <c r="DC16" i="5"/>
  <c r="DC17" i="5"/>
  <c r="DC18" i="5"/>
  <c r="DC19" i="5"/>
  <c r="DC20" i="5"/>
  <c r="DC21" i="5"/>
  <c r="DC22" i="5"/>
  <c r="DC23" i="5"/>
  <c r="DC24" i="5"/>
  <c r="DC25" i="5"/>
  <c r="DC26" i="5"/>
  <c r="DC27" i="5"/>
  <c r="DC28" i="5"/>
  <c r="DC29" i="5"/>
  <c r="DC30" i="5"/>
  <c r="DC31" i="5"/>
  <c r="DC32" i="5"/>
  <c r="DC33" i="5"/>
  <c r="DC34" i="5"/>
  <c r="DC35" i="5"/>
  <c r="DC36" i="5"/>
  <c r="DC37" i="5"/>
  <c r="DC38" i="5"/>
  <c r="DC39" i="5"/>
  <c r="DC40" i="5"/>
  <c r="DC41" i="5"/>
  <c r="DC42" i="5"/>
  <c r="DC43" i="5"/>
  <c r="DC44" i="5"/>
  <c r="DC45" i="5"/>
  <c r="DC46" i="5"/>
  <c r="DC47" i="5"/>
  <c r="DC48" i="5"/>
  <c r="DC49" i="5"/>
  <c r="DC50" i="5"/>
  <c r="DC51" i="5"/>
  <c r="DC52" i="5"/>
  <c r="DC53" i="5"/>
  <c r="DC54" i="5"/>
  <c r="DC55" i="5"/>
  <c r="DC56" i="5"/>
  <c r="DC57" i="5"/>
  <c r="DC58" i="5"/>
  <c r="DC59" i="5"/>
  <c r="DC60" i="5"/>
  <c r="DC61" i="5"/>
  <c r="DC62" i="5"/>
  <c r="DC63" i="5"/>
  <c r="DC64" i="5"/>
  <c r="DC65" i="5"/>
  <c r="DC66" i="5"/>
  <c r="DC67" i="5"/>
  <c r="DC68" i="5"/>
  <c r="DC69" i="5"/>
  <c r="DC70" i="5"/>
  <c r="DC71" i="5"/>
  <c r="DC72" i="5"/>
  <c r="DC73" i="5"/>
  <c r="DC74" i="5"/>
  <c r="DC75" i="5"/>
  <c r="DC76" i="5"/>
  <c r="DC77" i="5"/>
  <c r="DC78" i="5"/>
  <c r="DC79" i="5"/>
  <c r="DC80" i="5"/>
  <c r="DC81" i="5"/>
  <c r="DC82" i="5"/>
  <c r="DC2" i="5"/>
  <c r="DA3" i="5"/>
  <c r="DA4" i="5"/>
  <c r="DA5" i="5"/>
  <c r="DA6" i="5"/>
  <c r="DA7" i="5"/>
  <c r="DA8" i="5"/>
  <c r="DA9" i="5"/>
  <c r="DA10" i="5"/>
  <c r="DA11" i="5"/>
  <c r="DA12" i="5"/>
  <c r="DA13" i="5"/>
  <c r="DA14" i="5"/>
  <c r="DA15" i="5"/>
  <c r="DA16" i="5"/>
  <c r="DA17" i="5"/>
  <c r="DA18" i="5"/>
  <c r="DA19" i="5"/>
  <c r="DA20" i="5"/>
  <c r="DA21" i="5"/>
  <c r="DA22" i="5"/>
  <c r="DA23" i="5"/>
  <c r="DA24" i="5"/>
  <c r="DA25" i="5"/>
  <c r="DA26" i="5"/>
  <c r="DA27" i="5"/>
  <c r="DA28" i="5"/>
  <c r="DA29" i="5"/>
  <c r="DA30" i="5"/>
  <c r="DA31" i="5"/>
  <c r="DA32" i="5"/>
  <c r="DA33" i="5"/>
  <c r="DA34" i="5"/>
  <c r="DA35" i="5"/>
  <c r="DA36" i="5"/>
  <c r="DA37" i="5"/>
  <c r="DA38" i="5"/>
  <c r="DA39" i="5"/>
  <c r="DA40" i="5"/>
  <c r="DA41" i="5"/>
  <c r="DA42" i="5"/>
  <c r="DA43" i="5"/>
  <c r="DA44" i="5"/>
  <c r="DA45" i="5"/>
  <c r="DA46" i="5"/>
  <c r="DA47" i="5"/>
  <c r="DA48" i="5"/>
  <c r="DA49" i="5"/>
  <c r="DA50" i="5"/>
  <c r="DA51" i="5"/>
  <c r="DA52" i="5"/>
  <c r="DA53" i="5"/>
  <c r="DA54" i="5"/>
  <c r="DA55" i="5"/>
  <c r="DA56" i="5"/>
  <c r="DA57" i="5"/>
  <c r="DA58" i="5"/>
  <c r="DA59" i="5"/>
  <c r="DA60" i="5"/>
  <c r="DA61" i="5"/>
  <c r="DA62" i="5"/>
  <c r="DA63" i="5"/>
  <c r="DA64" i="5"/>
  <c r="DA65" i="5"/>
  <c r="DA66" i="5"/>
  <c r="DA67" i="5"/>
  <c r="DA68" i="5"/>
  <c r="DA69" i="5"/>
  <c r="DA70" i="5"/>
  <c r="DA71" i="5"/>
  <c r="DA72" i="5"/>
  <c r="DA73" i="5"/>
  <c r="DA74" i="5"/>
  <c r="DA75" i="5"/>
  <c r="DA76" i="5"/>
  <c r="DA77" i="5"/>
  <c r="DA78" i="5"/>
  <c r="DA79" i="5"/>
  <c r="DA80" i="5"/>
  <c r="DA81" i="5"/>
  <c r="DA82" i="5"/>
  <c r="DA2" i="5"/>
  <c r="CZ3" i="5"/>
  <c r="CZ4" i="5"/>
  <c r="CZ5" i="5"/>
  <c r="CZ6" i="5"/>
  <c r="CZ7" i="5"/>
  <c r="CZ8" i="5"/>
  <c r="CZ9" i="5"/>
  <c r="CZ10" i="5"/>
  <c r="CZ11" i="5"/>
  <c r="CZ12" i="5"/>
  <c r="CZ13" i="5"/>
  <c r="CZ14" i="5"/>
  <c r="CZ15" i="5"/>
  <c r="CZ16" i="5"/>
  <c r="CZ17" i="5"/>
  <c r="CZ18" i="5"/>
  <c r="CZ19" i="5"/>
  <c r="CZ20" i="5"/>
  <c r="CZ21" i="5"/>
  <c r="CZ22" i="5"/>
  <c r="CZ23" i="5"/>
  <c r="CZ24" i="5"/>
  <c r="CZ25" i="5"/>
  <c r="CZ26" i="5"/>
  <c r="CZ27" i="5"/>
  <c r="CZ28" i="5"/>
  <c r="CZ29" i="5"/>
  <c r="CZ30" i="5"/>
  <c r="CZ31" i="5"/>
  <c r="CZ32" i="5"/>
  <c r="CZ33" i="5"/>
  <c r="CZ34" i="5"/>
  <c r="CZ35" i="5"/>
  <c r="CZ36" i="5"/>
  <c r="CZ37" i="5"/>
  <c r="CZ38" i="5"/>
  <c r="CZ39" i="5"/>
  <c r="CZ40" i="5"/>
  <c r="CZ41" i="5"/>
  <c r="CZ42" i="5"/>
  <c r="CZ43" i="5"/>
  <c r="CZ44" i="5"/>
  <c r="CZ45" i="5"/>
  <c r="CZ46" i="5"/>
  <c r="CZ47" i="5"/>
  <c r="CZ48" i="5"/>
  <c r="CZ49" i="5"/>
  <c r="CZ50" i="5"/>
  <c r="CZ51" i="5"/>
  <c r="CZ52" i="5"/>
  <c r="CZ53" i="5"/>
  <c r="CZ54" i="5"/>
  <c r="CZ55" i="5"/>
  <c r="CZ56" i="5"/>
  <c r="CZ57" i="5"/>
  <c r="CZ58" i="5"/>
  <c r="CZ59" i="5"/>
  <c r="CZ60" i="5"/>
  <c r="CZ61" i="5"/>
  <c r="CZ62" i="5"/>
  <c r="CZ63" i="5"/>
  <c r="CZ64" i="5"/>
  <c r="CZ65" i="5"/>
  <c r="CZ66" i="5"/>
  <c r="CZ67" i="5"/>
  <c r="CZ68" i="5"/>
  <c r="CZ69" i="5"/>
  <c r="CZ70" i="5"/>
  <c r="CZ71" i="5"/>
  <c r="CZ72" i="5"/>
  <c r="CZ73" i="5"/>
  <c r="CZ74" i="5"/>
  <c r="CZ75" i="5"/>
  <c r="CZ76" i="5"/>
  <c r="CZ77" i="5"/>
  <c r="CZ78" i="5"/>
  <c r="CZ79" i="5"/>
  <c r="CZ80" i="5"/>
  <c r="CZ81" i="5"/>
  <c r="CZ82" i="5"/>
  <c r="CZ2" i="5"/>
  <c r="DI3" i="4"/>
  <c r="DI4" i="4"/>
  <c r="DI5" i="4"/>
  <c r="DI6" i="4"/>
  <c r="DI7" i="4"/>
  <c r="DI8" i="4"/>
  <c r="DI9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41" i="4"/>
  <c r="DI42" i="4"/>
  <c r="DI43" i="4"/>
  <c r="DI44" i="4"/>
  <c r="DI45" i="4"/>
  <c r="DI46" i="4"/>
  <c r="DI47" i="4"/>
  <c r="DI48" i="4"/>
  <c r="DI49" i="4"/>
  <c r="DI50" i="4"/>
  <c r="DI51" i="4"/>
  <c r="DI52" i="4"/>
  <c r="DI53" i="4"/>
  <c r="DI54" i="4"/>
  <c r="DI55" i="4"/>
  <c r="DI56" i="4"/>
  <c r="DI57" i="4"/>
  <c r="DI58" i="4"/>
  <c r="DI59" i="4"/>
  <c r="DI60" i="4"/>
  <c r="DI61" i="4"/>
  <c r="DI62" i="4"/>
  <c r="DI63" i="4"/>
  <c r="DI64" i="4"/>
  <c r="DI65" i="4"/>
  <c r="DI66" i="4"/>
  <c r="DI67" i="4"/>
  <c r="DI68" i="4"/>
  <c r="DI69" i="4"/>
  <c r="DI70" i="4"/>
  <c r="DI71" i="4"/>
  <c r="DI72" i="4"/>
  <c r="DI73" i="4"/>
  <c r="DI74" i="4"/>
  <c r="DI75" i="4"/>
  <c r="DI76" i="4"/>
  <c r="DI77" i="4"/>
  <c r="DI78" i="4"/>
  <c r="DI79" i="4"/>
  <c r="DI80" i="4"/>
  <c r="DI81" i="4"/>
  <c r="DI82" i="4"/>
  <c r="DI2" i="4"/>
  <c r="DH3" i="4"/>
  <c r="DH4" i="4"/>
  <c r="DH5" i="4"/>
  <c r="DH6" i="4"/>
  <c r="DH7" i="4"/>
  <c r="DH8" i="4"/>
  <c r="DH9" i="4"/>
  <c r="DH10" i="4"/>
  <c r="DH11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41" i="4"/>
  <c r="DH42" i="4"/>
  <c r="DH43" i="4"/>
  <c r="DH44" i="4"/>
  <c r="DH45" i="4"/>
  <c r="DH46" i="4"/>
  <c r="DH47" i="4"/>
  <c r="DH48" i="4"/>
  <c r="DH49" i="4"/>
  <c r="DH50" i="4"/>
  <c r="DH51" i="4"/>
  <c r="DH52" i="4"/>
  <c r="DH53" i="4"/>
  <c r="DH54" i="4"/>
  <c r="DH55" i="4"/>
  <c r="DH56" i="4"/>
  <c r="DH57" i="4"/>
  <c r="DH58" i="4"/>
  <c r="DH59" i="4"/>
  <c r="DH60" i="4"/>
  <c r="DH61" i="4"/>
  <c r="DH62" i="4"/>
  <c r="DH63" i="4"/>
  <c r="DH64" i="4"/>
  <c r="DH65" i="4"/>
  <c r="DH66" i="4"/>
  <c r="DH67" i="4"/>
  <c r="DH68" i="4"/>
  <c r="DH69" i="4"/>
  <c r="DH70" i="4"/>
  <c r="DH71" i="4"/>
  <c r="DH72" i="4"/>
  <c r="DH73" i="4"/>
  <c r="DH74" i="4"/>
  <c r="DH75" i="4"/>
  <c r="DH76" i="4"/>
  <c r="DH77" i="4"/>
  <c r="DH78" i="4"/>
  <c r="DH79" i="4"/>
  <c r="DH80" i="4"/>
  <c r="DH81" i="4"/>
  <c r="DH82" i="4"/>
  <c r="DH2" i="4"/>
  <c r="DG3" i="4"/>
  <c r="DG4" i="4"/>
  <c r="DG5" i="4"/>
  <c r="DG6" i="4"/>
  <c r="DG7" i="4"/>
  <c r="DG8" i="4"/>
  <c r="DG9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41" i="4"/>
  <c r="DG42" i="4"/>
  <c r="DG43" i="4"/>
  <c r="DG44" i="4"/>
  <c r="DG45" i="4"/>
  <c r="DG46" i="4"/>
  <c r="DG47" i="4"/>
  <c r="DG48" i="4"/>
  <c r="DG49" i="4"/>
  <c r="DG50" i="4"/>
  <c r="DG51" i="4"/>
  <c r="DG52" i="4"/>
  <c r="DG53" i="4"/>
  <c r="DG54" i="4"/>
  <c r="DG55" i="4"/>
  <c r="DG56" i="4"/>
  <c r="DG57" i="4"/>
  <c r="DG58" i="4"/>
  <c r="DG59" i="4"/>
  <c r="DG60" i="4"/>
  <c r="DG61" i="4"/>
  <c r="DG62" i="4"/>
  <c r="DG63" i="4"/>
  <c r="DG64" i="4"/>
  <c r="DG65" i="4"/>
  <c r="DG66" i="4"/>
  <c r="DG67" i="4"/>
  <c r="DG68" i="4"/>
  <c r="DG69" i="4"/>
  <c r="DG70" i="4"/>
  <c r="DG71" i="4"/>
  <c r="DG72" i="4"/>
  <c r="DG73" i="4"/>
  <c r="DG74" i="4"/>
  <c r="DG75" i="4"/>
  <c r="DG76" i="4"/>
  <c r="DG77" i="4"/>
  <c r="DG78" i="4"/>
  <c r="DG79" i="4"/>
  <c r="DG80" i="4"/>
  <c r="DG81" i="4"/>
  <c r="DG82" i="4"/>
  <c r="DG2" i="4"/>
  <c r="DF3" i="4"/>
  <c r="DF4" i="4"/>
  <c r="DF5" i="4"/>
  <c r="DF6" i="4"/>
  <c r="DF7" i="4"/>
  <c r="DF8" i="4"/>
  <c r="DF9" i="4"/>
  <c r="DF10" i="4"/>
  <c r="DF11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41" i="4"/>
  <c r="DF42" i="4"/>
  <c r="DF43" i="4"/>
  <c r="DF44" i="4"/>
  <c r="DF45" i="4"/>
  <c r="DF46" i="4"/>
  <c r="DF47" i="4"/>
  <c r="DF48" i="4"/>
  <c r="DF49" i="4"/>
  <c r="DF50" i="4"/>
  <c r="DF51" i="4"/>
  <c r="DF52" i="4"/>
  <c r="DF53" i="4"/>
  <c r="DF54" i="4"/>
  <c r="DF55" i="4"/>
  <c r="DF56" i="4"/>
  <c r="DF57" i="4"/>
  <c r="DF58" i="4"/>
  <c r="DF59" i="4"/>
  <c r="DF60" i="4"/>
  <c r="DF61" i="4"/>
  <c r="DF62" i="4"/>
  <c r="DF63" i="4"/>
  <c r="DF64" i="4"/>
  <c r="DF65" i="4"/>
  <c r="DF66" i="4"/>
  <c r="DF67" i="4"/>
  <c r="DF68" i="4"/>
  <c r="DF69" i="4"/>
  <c r="DF70" i="4"/>
  <c r="DF71" i="4"/>
  <c r="DF72" i="4"/>
  <c r="DF73" i="4"/>
  <c r="DF74" i="4"/>
  <c r="DF75" i="4"/>
  <c r="DF76" i="4"/>
  <c r="DF77" i="4"/>
  <c r="DF78" i="4"/>
  <c r="DF79" i="4"/>
  <c r="DF80" i="4"/>
  <c r="DF81" i="4"/>
  <c r="DF82" i="4"/>
  <c r="DF2" i="4"/>
  <c r="DE3" i="4"/>
  <c r="DE4" i="4"/>
  <c r="DE5" i="4"/>
  <c r="DE6" i="4"/>
  <c r="DE7" i="4"/>
  <c r="DE8" i="4"/>
  <c r="DE9" i="4"/>
  <c r="DE10" i="4"/>
  <c r="DE11" i="4"/>
  <c r="DE12" i="4"/>
  <c r="DE13" i="4"/>
  <c r="DE14" i="4"/>
  <c r="DE15" i="4"/>
  <c r="DE16" i="4"/>
  <c r="DE17" i="4"/>
  <c r="DE18" i="4"/>
  <c r="DE19" i="4"/>
  <c r="DE20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41" i="4"/>
  <c r="DE42" i="4"/>
  <c r="DE43" i="4"/>
  <c r="DE44" i="4"/>
  <c r="DE45" i="4"/>
  <c r="DE46" i="4"/>
  <c r="DE47" i="4"/>
  <c r="DE48" i="4"/>
  <c r="DE49" i="4"/>
  <c r="DE50" i="4"/>
  <c r="DE51" i="4"/>
  <c r="DE52" i="4"/>
  <c r="DE53" i="4"/>
  <c r="DE54" i="4"/>
  <c r="DE55" i="4"/>
  <c r="DE56" i="4"/>
  <c r="DE57" i="4"/>
  <c r="DE58" i="4"/>
  <c r="DE59" i="4"/>
  <c r="DE60" i="4"/>
  <c r="DE61" i="4"/>
  <c r="DE62" i="4"/>
  <c r="DE63" i="4"/>
  <c r="DE64" i="4"/>
  <c r="DE65" i="4"/>
  <c r="DE66" i="4"/>
  <c r="DE67" i="4"/>
  <c r="DE68" i="4"/>
  <c r="DE69" i="4"/>
  <c r="DE70" i="4"/>
  <c r="DE71" i="4"/>
  <c r="DE72" i="4"/>
  <c r="DE73" i="4"/>
  <c r="DE74" i="4"/>
  <c r="DE75" i="4"/>
  <c r="DE76" i="4"/>
  <c r="DE77" i="4"/>
  <c r="DE78" i="4"/>
  <c r="DE79" i="4"/>
  <c r="DE80" i="4"/>
  <c r="DE81" i="4"/>
  <c r="DE82" i="4"/>
  <c r="DE2" i="4"/>
  <c r="DD3" i="4"/>
  <c r="DD4" i="4"/>
  <c r="DD5" i="4"/>
  <c r="DD6" i="4"/>
  <c r="DD7" i="4"/>
  <c r="DD8" i="4"/>
  <c r="DD9" i="4"/>
  <c r="DD10" i="4"/>
  <c r="DD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41" i="4"/>
  <c r="DD42" i="4"/>
  <c r="DD43" i="4"/>
  <c r="DD44" i="4"/>
  <c r="DD45" i="4"/>
  <c r="DD46" i="4"/>
  <c r="DD47" i="4"/>
  <c r="DD48" i="4"/>
  <c r="DD49" i="4"/>
  <c r="DD50" i="4"/>
  <c r="DD51" i="4"/>
  <c r="DD52" i="4"/>
  <c r="DD53" i="4"/>
  <c r="DD54" i="4"/>
  <c r="DD55" i="4"/>
  <c r="DD56" i="4"/>
  <c r="DD57" i="4"/>
  <c r="DD58" i="4"/>
  <c r="DD59" i="4"/>
  <c r="DD60" i="4"/>
  <c r="DD61" i="4"/>
  <c r="DD62" i="4"/>
  <c r="DD63" i="4"/>
  <c r="DD64" i="4"/>
  <c r="DD65" i="4"/>
  <c r="DD66" i="4"/>
  <c r="DD67" i="4"/>
  <c r="DD68" i="4"/>
  <c r="DD69" i="4"/>
  <c r="DD70" i="4"/>
  <c r="DD71" i="4"/>
  <c r="DD72" i="4"/>
  <c r="DD73" i="4"/>
  <c r="DD74" i="4"/>
  <c r="DD75" i="4"/>
  <c r="DD76" i="4"/>
  <c r="DD77" i="4"/>
  <c r="DD78" i="4"/>
  <c r="DD79" i="4"/>
  <c r="DD80" i="4"/>
  <c r="DD81" i="4"/>
  <c r="DD82" i="4"/>
  <c r="DD2" i="4"/>
  <c r="DC3" i="4"/>
  <c r="DC4" i="4"/>
  <c r="DC5" i="4"/>
  <c r="DC6" i="4"/>
  <c r="DC7" i="4"/>
  <c r="DC8" i="4"/>
  <c r="DC9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41" i="4"/>
  <c r="DC42" i="4"/>
  <c r="DC43" i="4"/>
  <c r="DC44" i="4"/>
  <c r="DC45" i="4"/>
  <c r="DC46" i="4"/>
  <c r="DC47" i="4"/>
  <c r="DC48" i="4"/>
  <c r="DC49" i="4"/>
  <c r="DC50" i="4"/>
  <c r="DC51" i="4"/>
  <c r="DC52" i="4"/>
  <c r="DC53" i="4"/>
  <c r="DC54" i="4"/>
  <c r="DC55" i="4"/>
  <c r="DC56" i="4"/>
  <c r="DC57" i="4"/>
  <c r="DC58" i="4"/>
  <c r="DC59" i="4"/>
  <c r="DC60" i="4"/>
  <c r="DC61" i="4"/>
  <c r="DC62" i="4"/>
  <c r="DC63" i="4"/>
  <c r="DC64" i="4"/>
  <c r="DC65" i="4"/>
  <c r="DC66" i="4"/>
  <c r="DC67" i="4"/>
  <c r="DC68" i="4"/>
  <c r="DC69" i="4"/>
  <c r="DC70" i="4"/>
  <c r="DC71" i="4"/>
  <c r="DC72" i="4"/>
  <c r="DC73" i="4"/>
  <c r="DC74" i="4"/>
  <c r="DC75" i="4"/>
  <c r="DC76" i="4"/>
  <c r="DC77" i="4"/>
  <c r="DC78" i="4"/>
  <c r="DC79" i="4"/>
  <c r="DC80" i="4"/>
  <c r="DC81" i="4"/>
  <c r="DC82" i="4"/>
  <c r="DC2" i="4"/>
  <c r="DB3" i="4"/>
  <c r="DB4" i="4"/>
  <c r="DB5" i="4"/>
  <c r="DB6" i="4"/>
  <c r="DB7" i="4"/>
  <c r="DB8" i="4"/>
  <c r="DB9" i="4"/>
  <c r="DB10" i="4"/>
  <c r="DB11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41" i="4"/>
  <c r="DB42" i="4"/>
  <c r="DB43" i="4"/>
  <c r="DB44" i="4"/>
  <c r="DB45" i="4"/>
  <c r="DB46" i="4"/>
  <c r="DB47" i="4"/>
  <c r="DB48" i="4"/>
  <c r="DB49" i="4"/>
  <c r="DB50" i="4"/>
  <c r="DB51" i="4"/>
  <c r="DB52" i="4"/>
  <c r="DB53" i="4"/>
  <c r="DB54" i="4"/>
  <c r="DB55" i="4"/>
  <c r="DB56" i="4"/>
  <c r="DB57" i="4"/>
  <c r="DB58" i="4"/>
  <c r="DB59" i="4"/>
  <c r="DB60" i="4"/>
  <c r="DB61" i="4"/>
  <c r="DB62" i="4"/>
  <c r="DB63" i="4"/>
  <c r="DB64" i="4"/>
  <c r="DB65" i="4"/>
  <c r="DB66" i="4"/>
  <c r="DB67" i="4"/>
  <c r="DB68" i="4"/>
  <c r="DB69" i="4"/>
  <c r="DB70" i="4"/>
  <c r="DB71" i="4"/>
  <c r="DB72" i="4"/>
  <c r="DB73" i="4"/>
  <c r="DB74" i="4"/>
  <c r="DB75" i="4"/>
  <c r="DB76" i="4"/>
  <c r="DB77" i="4"/>
  <c r="DB78" i="4"/>
  <c r="DB79" i="4"/>
  <c r="DB80" i="4"/>
  <c r="DB81" i="4"/>
  <c r="DB82" i="4"/>
  <c r="DB2" i="4"/>
  <c r="DA3" i="4"/>
  <c r="DA4" i="4"/>
  <c r="DA5" i="4"/>
  <c r="DA6" i="4"/>
  <c r="DA7" i="4"/>
  <c r="DA8" i="4"/>
  <c r="DA9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41" i="4"/>
  <c r="DA42" i="4"/>
  <c r="DA43" i="4"/>
  <c r="DA44" i="4"/>
  <c r="DA45" i="4"/>
  <c r="DA46" i="4"/>
  <c r="DA47" i="4"/>
  <c r="DA48" i="4"/>
  <c r="DA49" i="4"/>
  <c r="DA50" i="4"/>
  <c r="DA51" i="4"/>
  <c r="DA52" i="4"/>
  <c r="DA53" i="4"/>
  <c r="DA54" i="4"/>
  <c r="DA55" i="4"/>
  <c r="DA56" i="4"/>
  <c r="DA57" i="4"/>
  <c r="DA58" i="4"/>
  <c r="DA59" i="4"/>
  <c r="DA60" i="4"/>
  <c r="DA61" i="4"/>
  <c r="DA62" i="4"/>
  <c r="DA63" i="4"/>
  <c r="DA64" i="4"/>
  <c r="DA65" i="4"/>
  <c r="DA66" i="4"/>
  <c r="DA67" i="4"/>
  <c r="DA68" i="4"/>
  <c r="DA69" i="4"/>
  <c r="DA70" i="4"/>
  <c r="DA71" i="4"/>
  <c r="DA72" i="4"/>
  <c r="DA73" i="4"/>
  <c r="DA74" i="4"/>
  <c r="DA75" i="4"/>
  <c r="DA76" i="4"/>
  <c r="DA77" i="4"/>
  <c r="DA78" i="4"/>
  <c r="DA79" i="4"/>
  <c r="DA80" i="4"/>
  <c r="DA81" i="4"/>
  <c r="DA82" i="4"/>
  <c r="DA2" i="4"/>
  <c r="CZ3" i="4"/>
  <c r="CZ4" i="4"/>
  <c r="CZ5" i="4"/>
  <c r="CZ6" i="4"/>
  <c r="CZ7" i="4"/>
  <c r="CZ8" i="4"/>
  <c r="CZ9" i="4"/>
  <c r="CZ10" i="4"/>
  <c r="CZ11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41" i="4"/>
  <c r="CZ42" i="4"/>
  <c r="CZ43" i="4"/>
  <c r="CZ44" i="4"/>
  <c r="CZ45" i="4"/>
  <c r="CZ46" i="4"/>
  <c r="CZ47" i="4"/>
  <c r="CZ48" i="4"/>
  <c r="CZ49" i="4"/>
  <c r="CZ50" i="4"/>
  <c r="CZ51" i="4"/>
  <c r="CZ52" i="4"/>
  <c r="CZ53" i="4"/>
  <c r="CZ54" i="4"/>
  <c r="CZ55" i="4"/>
  <c r="CZ56" i="4"/>
  <c r="CZ57" i="4"/>
  <c r="CZ58" i="4"/>
  <c r="CZ59" i="4"/>
  <c r="CZ60" i="4"/>
  <c r="CZ61" i="4"/>
  <c r="CZ62" i="4"/>
  <c r="CZ63" i="4"/>
  <c r="CZ64" i="4"/>
  <c r="CZ65" i="4"/>
  <c r="CZ66" i="4"/>
  <c r="CZ67" i="4"/>
  <c r="CZ68" i="4"/>
  <c r="CZ69" i="4"/>
  <c r="CZ70" i="4"/>
  <c r="CZ71" i="4"/>
  <c r="CZ72" i="4"/>
  <c r="CZ73" i="4"/>
  <c r="CZ74" i="4"/>
  <c r="CZ75" i="4"/>
  <c r="CZ76" i="4"/>
  <c r="CZ77" i="4"/>
  <c r="CZ78" i="4"/>
  <c r="CZ79" i="4"/>
  <c r="CZ80" i="4"/>
  <c r="CZ81" i="4"/>
  <c r="CZ82" i="4"/>
  <c r="CZ2" i="4"/>
  <c r="CY3" i="4"/>
  <c r="CY4" i="4"/>
  <c r="CY5" i="4"/>
  <c r="CY6" i="4"/>
  <c r="CY7" i="4"/>
  <c r="CY8" i="4"/>
  <c r="CY9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41" i="4"/>
  <c r="CY42" i="4"/>
  <c r="CY43" i="4"/>
  <c r="CY44" i="4"/>
  <c r="CY45" i="4"/>
  <c r="CY46" i="4"/>
  <c r="CY47" i="4"/>
  <c r="CY48" i="4"/>
  <c r="CY49" i="4"/>
  <c r="CY50" i="4"/>
  <c r="CY51" i="4"/>
  <c r="CY52" i="4"/>
  <c r="CY53" i="4"/>
  <c r="CY54" i="4"/>
  <c r="CY55" i="4"/>
  <c r="CY56" i="4"/>
  <c r="CY57" i="4"/>
  <c r="CY58" i="4"/>
  <c r="CY59" i="4"/>
  <c r="CY60" i="4"/>
  <c r="CY61" i="4"/>
  <c r="CY62" i="4"/>
  <c r="CY63" i="4"/>
  <c r="CY64" i="4"/>
  <c r="CY65" i="4"/>
  <c r="CY66" i="4"/>
  <c r="CY67" i="4"/>
  <c r="CY68" i="4"/>
  <c r="CY69" i="4"/>
  <c r="CY70" i="4"/>
  <c r="CY71" i="4"/>
  <c r="CY72" i="4"/>
  <c r="CY73" i="4"/>
  <c r="CY74" i="4"/>
  <c r="CY75" i="4"/>
  <c r="CY76" i="4"/>
  <c r="CY77" i="4"/>
  <c r="CY78" i="4"/>
  <c r="CY79" i="4"/>
  <c r="CY80" i="4"/>
  <c r="CY81" i="4"/>
  <c r="CY82" i="4"/>
  <c r="CY2" i="4"/>
  <c r="CX3" i="4"/>
  <c r="CX4" i="4"/>
  <c r="CX5" i="4"/>
  <c r="CX6" i="4"/>
  <c r="CX7" i="4"/>
  <c r="CX8" i="4"/>
  <c r="CX9" i="4"/>
  <c r="CX10" i="4"/>
  <c r="CX11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41" i="4"/>
  <c r="CX42" i="4"/>
  <c r="CX43" i="4"/>
  <c r="CX44" i="4"/>
  <c r="CX45" i="4"/>
  <c r="CX46" i="4"/>
  <c r="CX47" i="4"/>
  <c r="CX48" i="4"/>
  <c r="CX49" i="4"/>
  <c r="CX50" i="4"/>
  <c r="CX51" i="4"/>
  <c r="CX52" i="4"/>
  <c r="CX53" i="4"/>
  <c r="CX54" i="4"/>
  <c r="CX55" i="4"/>
  <c r="CX56" i="4"/>
  <c r="CX57" i="4"/>
  <c r="CX58" i="4"/>
  <c r="CX59" i="4"/>
  <c r="CX60" i="4"/>
  <c r="CX61" i="4"/>
  <c r="CX62" i="4"/>
  <c r="CX63" i="4"/>
  <c r="CX64" i="4"/>
  <c r="CX65" i="4"/>
  <c r="CX66" i="4"/>
  <c r="CX67" i="4"/>
  <c r="CX68" i="4"/>
  <c r="CX69" i="4"/>
  <c r="CX70" i="4"/>
  <c r="CX71" i="4"/>
  <c r="CX72" i="4"/>
  <c r="CX73" i="4"/>
  <c r="CX74" i="4"/>
  <c r="CX75" i="4"/>
  <c r="CX76" i="4"/>
  <c r="CX77" i="4"/>
  <c r="CX78" i="4"/>
  <c r="CX79" i="4"/>
  <c r="CX80" i="4"/>
  <c r="CX81" i="4"/>
  <c r="CX82" i="4"/>
  <c r="CX2" i="4"/>
  <c r="CW3" i="4"/>
  <c r="CW4" i="4"/>
  <c r="CW5" i="4"/>
  <c r="CW6" i="4"/>
  <c r="CW7" i="4"/>
  <c r="CW8" i="4"/>
  <c r="CW9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41" i="4"/>
  <c r="CW42" i="4"/>
  <c r="CW43" i="4"/>
  <c r="CW44" i="4"/>
  <c r="CW45" i="4"/>
  <c r="CW46" i="4"/>
  <c r="CW47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W67" i="4"/>
  <c r="CW68" i="4"/>
  <c r="CW69" i="4"/>
  <c r="CW70" i="4"/>
  <c r="CW71" i="4"/>
  <c r="CW72" i="4"/>
  <c r="CW73" i="4"/>
  <c r="CW74" i="4"/>
  <c r="CW75" i="4"/>
  <c r="CW76" i="4"/>
  <c r="CW77" i="4"/>
  <c r="CW78" i="4"/>
  <c r="CW79" i="4"/>
  <c r="CW80" i="4"/>
  <c r="CW81" i="4"/>
  <c r="CW82" i="4"/>
  <c r="CW2" i="4"/>
  <c r="CV3" i="4"/>
  <c r="CV4" i="4"/>
  <c r="CV5" i="4"/>
  <c r="CV6" i="4"/>
  <c r="CV7" i="4"/>
  <c r="CV8" i="4"/>
  <c r="CV9" i="4"/>
  <c r="CV10" i="4"/>
  <c r="CV11" i="4"/>
  <c r="CV12" i="4"/>
  <c r="CV13" i="4"/>
  <c r="CV14" i="4"/>
  <c r="CV15" i="4"/>
  <c r="CV16" i="4"/>
  <c r="CV17" i="4"/>
  <c r="CV18" i="4"/>
  <c r="CV19" i="4"/>
  <c r="CV20" i="4"/>
  <c r="CV21" i="4"/>
  <c r="CV22" i="4"/>
  <c r="CV23" i="4"/>
  <c r="CV24" i="4"/>
  <c r="CV25" i="4"/>
  <c r="CV26" i="4"/>
  <c r="CV27" i="4"/>
  <c r="CV28" i="4"/>
  <c r="CV29" i="4"/>
  <c r="CV30" i="4"/>
  <c r="CV31" i="4"/>
  <c r="CV32" i="4"/>
  <c r="CV33" i="4"/>
  <c r="CV34" i="4"/>
  <c r="CV35" i="4"/>
  <c r="CV36" i="4"/>
  <c r="CV37" i="4"/>
  <c r="CV38" i="4"/>
  <c r="CV39" i="4"/>
  <c r="CV40" i="4"/>
  <c r="CV41" i="4"/>
  <c r="CV42" i="4"/>
  <c r="CV43" i="4"/>
  <c r="CV44" i="4"/>
  <c r="CV45" i="4"/>
  <c r="CV46" i="4"/>
  <c r="CV47" i="4"/>
  <c r="CV48" i="4"/>
  <c r="CV49" i="4"/>
  <c r="CV50" i="4"/>
  <c r="CV51" i="4"/>
  <c r="CV52" i="4"/>
  <c r="CV53" i="4"/>
  <c r="CV54" i="4"/>
  <c r="CV55" i="4"/>
  <c r="CV56" i="4"/>
  <c r="CV57" i="4"/>
  <c r="CV58" i="4"/>
  <c r="CV59" i="4"/>
  <c r="CV60" i="4"/>
  <c r="CV61" i="4"/>
  <c r="CV62" i="4"/>
  <c r="CV63" i="4"/>
  <c r="CV64" i="4"/>
  <c r="CV65" i="4"/>
  <c r="CV66" i="4"/>
  <c r="CV67" i="4"/>
  <c r="CV68" i="4"/>
  <c r="CV69" i="4"/>
  <c r="CV70" i="4"/>
  <c r="CV71" i="4"/>
  <c r="CV72" i="4"/>
  <c r="CV73" i="4"/>
  <c r="CV74" i="4"/>
  <c r="CV75" i="4"/>
  <c r="CV76" i="4"/>
  <c r="CV77" i="4"/>
  <c r="CV78" i="4"/>
  <c r="CV79" i="4"/>
  <c r="CV80" i="4"/>
  <c r="CV81" i="4"/>
  <c r="CV82" i="4"/>
  <c r="CV2" i="4"/>
  <c r="CU3" i="4"/>
  <c r="CU4" i="4"/>
  <c r="CU5" i="4"/>
  <c r="CU6" i="4"/>
  <c r="CU7" i="4"/>
  <c r="CU8" i="4"/>
  <c r="CU9" i="4"/>
  <c r="CU10" i="4"/>
  <c r="CU11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41" i="4"/>
  <c r="CU42" i="4"/>
  <c r="CU43" i="4"/>
  <c r="CU44" i="4"/>
  <c r="CU45" i="4"/>
  <c r="CU46" i="4"/>
  <c r="CU47" i="4"/>
  <c r="CU48" i="4"/>
  <c r="CU49" i="4"/>
  <c r="CU50" i="4"/>
  <c r="CU51" i="4"/>
  <c r="CU52" i="4"/>
  <c r="CU53" i="4"/>
  <c r="CU54" i="4"/>
  <c r="CU55" i="4"/>
  <c r="CU56" i="4"/>
  <c r="CU57" i="4"/>
  <c r="CU58" i="4"/>
  <c r="CU59" i="4"/>
  <c r="CU60" i="4"/>
  <c r="CU61" i="4"/>
  <c r="CU62" i="4"/>
  <c r="CU63" i="4"/>
  <c r="CU64" i="4"/>
  <c r="CU65" i="4"/>
  <c r="CU66" i="4"/>
  <c r="CU67" i="4"/>
  <c r="CU68" i="4"/>
  <c r="CU69" i="4"/>
  <c r="CU70" i="4"/>
  <c r="CU71" i="4"/>
  <c r="CU72" i="4"/>
  <c r="CU73" i="4"/>
  <c r="CU74" i="4"/>
  <c r="CU75" i="4"/>
  <c r="CU76" i="4"/>
  <c r="CU77" i="4"/>
  <c r="CU78" i="4"/>
  <c r="CU79" i="4"/>
  <c r="CU80" i="4"/>
  <c r="CU81" i="4"/>
  <c r="CU82" i="4"/>
  <c r="CU2" i="4"/>
  <c r="CT3" i="4"/>
  <c r="CT4" i="4"/>
  <c r="CT5" i="4"/>
  <c r="CT6" i="4"/>
  <c r="CT7" i="4"/>
  <c r="CT8" i="4"/>
  <c r="CT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41" i="4"/>
  <c r="CT42" i="4"/>
  <c r="CT43" i="4"/>
  <c r="CT44" i="4"/>
  <c r="CT45" i="4"/>
  <c r="CT46" i="4"/>
  <c r="CT47" i="4"/>
  <c r="CT48" i="4"/>
  <c r="CT49" i="4"/>
  <c r="CT50" i="4"/>
  <c r="CT51" i="4"/>
  <c r="CT52" i="4"/>
  <c r="CT53" i="4"/>
  <c r="CT54" i="4"/>
  <c r="CT55" i="4"/>
  <c r="CT56" i="4"/>
  <c r="CT57" i="4"/>
  <c r="CT58" i="4"/>
  <c r="CT59" i="4"/>
  <c r="CT60" i="4"/>
  <c r="CT61" i="4"/>
  <c r="CT62" i="4"/>
  <c r="CT63" i="4"/>
  <c r="CT64" i="4"/>
  <c r="CT65" i="4"/>
  <c r="CT66" i="4"/>
  <c r="CT67" i="4"/>
  <c r="CT68" i="4"/>
  <c r="CT69" i="4"/>
  <c r="CT70" i="4"/>
  <c r="CT71" i="4"/>
  <c r="CT72" i="4"/>
  <c r="CT73" i="4"/>
  <c r="CT74" i="4"/>
  <c r="CT75" i="4"/>
  <c r="CT76" i="4"/>
  <c r="CT77" i="4"/>
  <c r="CT78" i="4"/>
  <c r="CT79" i="4"/>
  <c r="CT80" i="4"/>
  <c r="CT81" i="4"/>
  <c r="CT82" i="4"/>
  <c r="CT2" i="4"/>
  <c r="CR3" i="4"/>
  <c r="CR4" i="4"/>
  <c r="CR5" i="4"/>
  <c r="CR6" i="4"/>
  <c r="CR7" i="4"/>
  <c r="CR8" i="4"/>
  <c r="CR9" i="4"/>
  <c r="CR10" i="4"/>
  <c r="CR11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41" i="4"/>
  <c r="CR42" i="4"/>
  <c r="CR43" i="4"/>
  <c r="CR44" i="4"/>
  <c r="CR45" i="4"/>
  <c r="CR46" i="4"/>
  <c r="CR47" i="4"/>
  <c r="CR48" i="4"/>
  <c r="CR49" i="4"/>
  <c r="CR50" i="4"/>
  <c r="CR51" i="4"/>
  <c r="CR52" i="4"/>
  <c r="CR53" i="4"/>
  <c r="CR54" i="4"/>
  <c r="CR55" i="4"/>
  <c r="CR56" i="4"/>
  <c r="CR57" i="4"/>
  <c r="CR58" i="4"/>
  <c r="CR59" i="4"/>
  <c r="CR60" i="4"/>
  <c r="CR61" i="4"/>
  <c r="CR62" i="4"/>
  <c r="CR63" i="4"/>
  <c r="CR64" i="4"/>
  <c r="CR65" i="4"/>
  <c r="CR66" i="4"/>
  <c r="CR67" i="4"/>
  <c r="CR68" i="4"/>
  <c r="CR69" i="4"/>
  <c r="CR70" i="4"/>
  <c r="CR71" i="4"/>
  <c r="CR72" i="4"/>
  <c r="CR73" i="4"/>
  <c r="CR74" i="4"/>
  <c r="CR75" i="4"/>
  <c r="CR76" i="4"/>
  <c r="CR77" i="4"/>
  <c r="CR78" i="4"/>
  <c r="CR79" i="4"/>
  <c r="CR80" i="4"/>
  <c r="CR81" i="4"/>
  <c r="CR82" i="4"/>
  <c r="CR2" i="4"/>
  <c r="CQ3" i="4"/>
  <c r="CQ4" i="4"/>
  <c r="CQ5" i="4"/>
  <c r="CQ6" i="4"/>
  <c r="CQ7" i="4"/>
  <c r="CQ8" i="4"/>
  <c r="CQ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41" i="4"/>
  <c r="CQ42" i="4"/>
  <c r="CQ43" i="4"/>
  <c r="CQ44" i="4"/>
  <c r="CQ45" i="4"/>
  <c r="CQ46" i="4"/>
  <c r="CQ47" i="4"/>
  <c r="CQ48" i="4"/>
  <c r="CQ49" i="4"/>
  <c r="CQ50" i="4"/>
  <c r="CQ51" i="4"/>
  <c r="CQ52" i="4"/>
  <c r="CQ53" i="4"/>
  <c r="CQ54" i="4"/>
  <c r="CQ55" i="4"/>
  <c r="CQ56" i="4"/>
  <c r="CQ57" i="4"/>
  <c r="CQ58" i="4"/>
  <c r="CQ59" i="4"/>
  <c r="CQ60" i="4"/>
  <c r="CQ61" i="4"/>
  <c r="CQ62" i="4"/>
  <c r="CQ63" i="4"/>
  <c r="CQ64" i="4"/>
  <c r="CQ65" i="4"/>
  <c r="CQ66" i="4"/>
  <c r="CQ67" i="4"/>
  <c r="CQ68" i="4"/>
  <c r="CQ69" i="4"/>
  <c r="CQ70" i="4"/>
  <c r="CQ71" i="4"/>
  <c r="CQ72" i="4"/>
  <c r="CQ73" i="4"/>
  <c r="CQ74" i="4"/>
  <c r="CQ75" i="4"/>
  <c r="CQ76" i="4"/>
  <c r="CQ77" i="4"/>
  <c r="CQ78" i="4"/>
  <c r="CQ79" i="4"/>
  <c r="CQ80" i="4"/>
  <c r="CQ81" i="4"/>
  <c r="CQ82" i="4"/>
  <c r="CQ2" i="4"/>
  <c r="H62" i="5" l="1"/>
  <c r="F62" i="5"/>
  <c r="E62" i="5"/>
  <c r="D62" i="5"/>
  <c r="C62" i="5"/>
  <c r="B62" i="5"/>
  <c r="H61" i="5"/>
  <c r="F61" i="5"/>
  <c r="E61" i="5"/>
  <c r="D61" i="5"/>
  <c r="C61" i="5"/>
  <c r="B61" i="5"/>
  <c r="H60" i="5"/>
  <c r="F60" i="5"/>
  <c r="E60" i="5"/>
  <c r="D60" i="5"/>
  <c r="C60" i="5"/>
  <c r="B60" i="5"/>
  <c r="H59" i="5"/>
  <c r="F59" i="5"/>
  <c r="E59" i="5"/>
  <c r="D59" i="5"/>
  <c r="C59" i="5"/>
  <c r="B59" i="5"/>
  <c r="H58" i="5"/>
  <c r="F58" i="5"/>
  <c r="E58" i="5"/>
  <c r="D58" i="5"/>
  <c r="C58" i="5"/>
  <c r="B58" i="5"/>
  <c r="H57" i="5"/>
  <c r="F57" i="5"/>
  <c r="E57" i="5"/>
  <c r="D57" i="5"/>
  <c r="C57" i="5"/>
  <c r="B57" i="5"/>
  <c r="H56" i="5"/>
  <c r="F56" i="5"/>
  <c r="E56" i="5"/>
  <c r="D56" i="5"/>
  <c r="C56" i="5"/>
  <c r="B56" i="5"/>
  <c r="H55" i="5"/>
  <c r="F55" i="5"/>
  <c r="E55" i="5"/>
  <c r="D55" i="5"/>
  <c r="C55" i="5"/>
  <c r="B55" i="5"/>
  <c r="H54" i="5"/>
  <c r="F54" i="5"/>
  <c r="E54" i="5"/>
  <c r="D54" i="5"/>
  <c r="C54" i="5"/>
  <c r="B54" i="5"/>
  <c r="H53" i="5"/>
  <c r="F53" i="5"/>
  <c r="E53" i="5"/>
  <c r="D53" i="5"/>
  <c r="C53" i="5"/>
  <c r="B53" i="5"/>
  <c r="H52" i="5"/>
  <c r="F52" i="5"/>
  <c r="E52" i="5"/>
  <c r="D52" i="5"/>
  <c r="C52" i="5"/>
  <c r="B52" i="5"/>
  <c r="H51" i="5"/>
  <c r="F51" i="5"/>
  <c r="E51" i="5"/>
  <c r="D51" i="5"/>
  <c r="C51" i="5"/>
  <c r="B51" i="5"/>
  <c r="H50" i="5"/>
  <c r="F50" i="5"/>
  <c r="E50" i="5"/>
  <c r="D50" i="5"/>
  <c r="C50" i="5"/>
  <c r="B50" i="5"/>
  <c r="H49" i="5"/>
  <c r="F49" i="5"/>
  <c r="E49" i="5"/>
  <c r="D49" i="5"/>
  <c r="C49" i="5"/>
  <c r="B49" i="5"/>
  <c r="H48" i="5"/>
  <c r="F48" i="5"/>
  <c r="E48" i="5"/>
  <c r="D48" i="5"/>
  <c r="C48" i="5"/>
  <c r="B48" i="5"/>
  <c r="H47" i="5"/>
  <c r="F47" i="5"/>
  <c r="E47" i="5"/>
  <c r="D47" i="5"/>
  <c r="C47" i="5"/>
  <c r="B47" i="5"/>
  <c r="H46" i="5"/>
  <c r="F46" i="5"/>
  <c r="E46" i="5"/>
  <c r="D46" i="5"/>
  <c r="C46" i="5"/>
  <c r="B46" i="5"/>
  <c r="H45" i="5"/>
  <c r="F45" i="5"/>
  <c r="E45" i="5"/>
  <c r="D45" i="5"/>
  <c r="C45" i="5"/>
  <c r="B45" i="5"/>
  <c r="H44" i="5"/>
  <c r="F44" i="5"/>
  <c r="E44" i="5"/>
  <c r="D44" i="5"/>
  <c r="C44" i="5"/>
  <c r="B44" i="5"/>
  <c r="H43" i="5"/>
  <c r="F43" i="5"/>
  <c r="E43" i="5"/>
  <c r="D43" i="5"/>
  <c r="C43" i="5"/>
  <c r="B43" i="5"/>
  <c r="H42" i="5"/>
  <c r="F42" i="5"/>
  <c r="E42" i="5"/>
  <c r="D42" i="5"/>
  <c r="C42" i="5"/>
  <c r="B42" i="5"/>
  <c r="H41" i="5"/>
  <c r="F41" i="5"/>
  <c r="E41" i="5"/>
  <c r="D41" i="5"/>
  <c r="C41" i="5"/>
  <c r="B41" i="5"/>
  <c r="H40" i="5"/>
  <c r="F40" i="5"/>
  <c r="E40" i="5"/>
  <c r="D40" i="5"/>
  <c r="C40" i="5"/>
  <c r="B40" i="5"/>
  <c r="H39" i="5"/>
  <c r="F39" i="5"/>
  <c r="E39" i="5"/>
  <c r="D39" i="5"/>
  <c r="C39" i="5"/>
  <c r="B39" i="5"/>
  <c r="H38" i="5"/>
  <c r="F38" i="5"/>
  <c r="E38" i="5"/>
  <c r="D38" i="5"/>
  <c r="C38" i="5"/>
  <c r="B38" i="5"/>
  <c r="H37" i="5"/>
  <c r="F37" i="5"/>
  <c r="E37" i="5"/>
  <c r="D37" i="5"/>
  <c r="C37" i="5"/>
  <c r="B37" i="5"/>
  <c r="H36" i="5"/>
  <c r="F36" i="5"/>
  <c r="E36" i="5"/>
  <c r="D36" i="5"/>
  <c r="C36" i="5"/>
  <c r="B36" i="5"/>
  <c r="H35" i="5"/>
  <c r="F35" i="5"/>
  <c r="E35" i="5"/>
  <c r="D35" i="5"/>
  <c r="C35" i="5"/>
  <c r="B35" i="5"/>
  <c r="H34" i="5"/>
  <c r="F34" i="5"/>
  <c r="E34" i="5"/>
  <c r="D34" i="5"/>
  <c r="C34" i="5"/>
  <c r="B34" i="5"/>
  <c r="H33" i="5"/>
  <c r="F33" i="5"/>
  <c r="E33" i="5"/>
  <c r="D33" i="5"/>
  <c r="C33" i="5"/>
  <c r="B33" i="5"/>
  <c r="H32" i="5"/>
  <c r="F32" i="5"/>
  <c r="E32" i="5"/>
  <c r="D32" i="5"/>
  <c r="C32" i="5"/>
  <c r="B32" i="5"/>
  <c r="H31" i="5"/>
  <c r="F31" i="5"/>
  <c r="E31" i="5"/>
  <c r="D31" i="5"/>
  <c r="C31" i="5"/>
  <c r="B31" i="5"/>
  <c r="H30" i="5"/>
  <c r="F30" i="5"/>
  <c r="E30" i="5"/>
  <c r="D30" i="5"/>
  <c r="C30" i="5"/>
  <c r="B30" i="5"/>
  <c r="H29" i="5"/>
  <c r="F29" i="5"/>
  <c r="E29" i="5"/>
  <c r="D29" i="5"/>
  <c r="C29" i="5"/>
  <c r="B29" i="5"/>
  <c r="H28" i="5"/>
  <c r="F28" i="5"/>
  <c r="E28" i="5"/>
  <c r="D28" i="5"/>
  <c r="C28" i="5"/>
  <c r="B28" i="5"/>
  <c r="H27" i="5"/>
  <c r="F27" i="5"/>
  <c r="E27" i="5"/>
  <c r="D27" i="5"/>
  <c r="C27" i="5"/>
  <c r="B27" i="5"/>
  <c r="H26" i="5"/>
  <c r="F26" i="5"/>
  <c r="E26" i="5"/>
  <c r="D26" i="5"/>
  <c r="C26" i="5"/>
  <c r="B26" i="5"/>
  <c r="H25" i="5"/>
  <c r="F25" i="5"/>
  <c r="E25" i="5"/>
  <c r="D25" i="5"/>
  <c r="C25" i="5"/>
  <c r="B25" i="5"/>
  <c r="H24" i="5"/>
  <c r="F24" i="5"/>
  <c r="E24" i="5"/>
  <c r="D24" i="5"/>
  <c r="C24" i="5"/>
  <c r="B24" i="5"/>
  <c r="H23" i="5"/>
  <c r="F23" i="5"/>
  <c r="E23" i="5"/>
  <c r="D23" i="5"/>
  <c r="C23" i="5"/>
  <c r="B23" i="5"/>
  <c r="H22" i="5"/>
  <c r="F22" i="5"/>
  <c r="E22" i="5"/>
  <c r="D22" i="5"/>
  <c r="C22" i="5"/>
  <c r="B22" i="5"/>
  <c r="H21" i="5"/>
  <c r="F21" i="5"/>
  <c r="E21" i="5"/>
  <c r="D21" i="5"/>
  <c r="C21" i="5"/>
  <c r="B21" i="5"/>
  <c r="H20" i="5"/>
  <c r="F20" i="5"/>
  <c r="E20" i="5"/>
  <c r="D20" i="5"/>
  <c r="C20" i="5"/>
  <c r="B20" i="5"/>
  <c r="H19" i="5"/>
  <c r="F19" i="5"/>
  <c r="E19" i="5"/>
  <c r="D19" i="5"/>
  <c r="C19" i="5"/>
  <c r="B19" i="5"/>
  <c r="H18" i="5"/>
  <c r="F18" i="5"/>
  <c r="E18" i="5"/>
  <c r="D18" i="5"/>
  <c r="C18" i="5"/>
  <c r="B18" i="5"/>
  <c r="H17" i="5"/>
  <c r="F17" i="5"/>
  <c r="E17" i="5"/>
  <c r="D17" i="5"/>
  <c r="C17" i="5"/>
  <c r="B17" i="5"/>
  <c r="H16" i="5"/>
  <c r="F16" i="5"/>
  <c r="E16" i="5"/>
  <c r="D16" i="5"/>
  <c r="C16" i="5"/>
  <c r="B16" i="5"/>
  <c r="H15" i="5"/>
  <c r="F15" i="5"/>
  <c r="E15" i="5"/>
  <c r="D15" i="5"/>
  <c r="C15" i="5"/>
  <c r="B15" i="5"/>
  <c r="H14" i="5"/>
  <c r="F14" i="5"/>
  <c r="E14" i="5"/>
  <c r="D14" i="5"/>
  <c r="C14" i="5"/>
  <c r="B14" i="5"/>
  <c r="H13" i="5"/>
  <c r="F13" i="5"/>
  <c r="E13" i="5"/>
  <c r="D13" i="5"/>
  <c r="C13" i="5"/>
  <c r="B13" i="5"/>
  <c r="H12" i="5"/>
  <c r="F12" i="5"/>
  <c r="E12" i="5"/>
  <c r="D12" i="5"/>
  <c r="C12" i="5"/>
  <c r="B12" i="5"/>
  <c r="H11" i="5"/>
  <c r="F11" i="5"/>
  <c r="E11" i="5"/>
  <c r="D11" i="5"/>
  <c r="C11" i="5"/>
  <c r="B11" i="5"/>
  <c r="H10" i="5"/>
  <c r="F10" i="5"/>
  <c r="E10" i="5"/>
  <c r="D10" i="5"/>
  <c r="C10" i="5"/>
  <c r="B10" i="5"/>
  <c r="H9" i="5"/>
  <c r="F9" i="5"/>
  <c r="E9" i="5"/>
  <c r="D9" i="5"/>
  <c r="C9" i="5"/>
  <c r="B9" i="5"/>
  <c r="H8" i="5"/>
  <c r="F8" i="5"/>
  <c r="E8" i="5"/>
  <c r="D8" i="5"/>
  <c r="C8" i="5"/>
  <c r="B8" i="5"/>
  <c r="H7" i="5"/>
  <c r="F7" i="5"/>
  <c r="E7" i="5"/>
  <c r="D7" i="5"/>
  <c r="C7" i="5"/>
  <c r="B7" i="5"/>
  <c r="H6" i="5"/>
  <c r="F6" i="5"/>
  <c r="E6" i="5"/>
  <c r="D6" i="5"/>
  <c r="C6" i="5"/>
  <c r="B6" i="5"/>
  <c r="H5" i="5"/>
  <c r="F5" i="5"/>
  <c r="E5" i="5"/>
  <c r="D5" i="5"/>
  <c r="C5" i="5"/>
  <c r="B5" i="5"/>
  <c r="H4" i="5"/>
  <c r="F4" i="5"/>
  <c r="E4" i="5"/>
  <c r="D4" i="5"/>
  <c r="C4" i="5"/>
  <c r="B4" i="5"/>
  <c r="H3" i="5"/>
  <c r="F3" i="5"/>
  <c r="E3" i="5"/>
  <c r="D3" i="5"/>
  <c r="C3" i="5"/>
  <c r="B3" i="5"/>
  <c r="H2" i="5"/>
  <c r="F2" i="5"/>
  <c r="E2" i="5"/>
  <c r="D2" i="5"/>
  <c r="C2" i="5"/>
  <c r="B2" i="5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F71" i="4"/>
  <c r="E71" i="4"/>
  <c r="D71" i="4"/>
  <c r="C71" i="4"/>
  <c r="B71" i="4"/>
  <c r="F70" i="4"/>
  <c r="E70" i="4"/>
  <c r="D70" i="4"/>
  <c r="C70" i="4"/>
  <c r="B70" i="4"/>
  <c r="F69" i="4"/>
  <c r="E69" i="4"/>
  <c r="D69" i="4"/>
  <c r="C69" i="4"/>
  <c r="B69" i="4"/>
  <c r="F68" i="4"/>
  <c r="E68" i="4"/>
  <c r="D68" i="4"/>
  <c r="C68" i="4"/>
  <c r="B68" i="4"/>
  <c r="F67" i="4"/>
  <c r="E67" i="4"/>
  <c r="D67" i="4"/>
  <c r="C67" i="4"/>
  <c r="B67" i="4"/>
  <c r="F66" i="4"/>
  <c r="E66" i="4"/>
  <c r="D66" i="4"/>
  <c r="C66" i="4"/>
  <c r="B66" i="4"/>
  <c r="F65" i="4"/>
  <c r="E65" i="4"/>
  <c r="D65" i="4"/>
  <c r="C65" i="4"/>
  <c r="B65" i="4"/>
  <c r="F64" i="4"/>
  <c r="E64" i="4"/>
  <c r="D64" i="4"/>
  <c r="C64" i="4"/>
  <c r="B64" i="4"/>
  <c r="F63" i="4"/>
  <c r="E63" i="4"/>
  <c r="D63" i="4"/>
  <c r="C63" i="4"/>
  <c r="B63" i="4"/>
  <c r="F62" i="4"/>
  <c r="E62" i="4"/>
  <c r="D62" i="4"/>
  <c r="C62" i="4"/>
  <c r="B62" i="4"/>
  <c r="F61" i="4"/>
  <c r="E61" i="4"/>
  <c r="D61" i="4"/>
  <c r="C61" i="4"/>
  <c r="B61" i="4"/>
  <c r="F60" i="4"/>
  <c r="E60" i="4"/>
  <c r="D60" i="4"/>
  <c r="C60" i="4"/>
  <c r="B60" i="4"/>
  <c r="F59" i="4"/>
  <c r="E59" i="4"/>
  <c r="D59" i="4"/>
  <c r="C59" i="4"/>
  <c r="B59" i="4"/>
  <c r="F58" i="4"/>
  <c r="E58" i="4"/>
  <c r="D58" i="4"/>
  <c r="C58" i="4"/>
  <c r="B58" i="4"/>
  <c r="F57" i="4"/>
  <c r="E57" i="4"/>
  <c r="D57" i="4"/>
  <c r="C57" i="4"/>
  <c r="B57" i="4"/>
  <c r="F56" i="4"/>
  <c r="E56" i="4"/>
  <c r="D56" i="4"/>
  <c r="C56" i="4"/>
  <c r="B56" i="4"/>
  <c r="F55" i="4"/>
  <c r="E55" i="4"/>
  <c r="D55" i="4"/>
  <c r="C55" i="4"/>
  <c r="B55" i="4"/>
  <c r="F54" i="4"/>
  <c r="E54" i="4"/>
  <c r="D54" i="4"/>
  <c r="C54" i="4"/>
  <c r="B54" i="4"/>
  <c r="F53" i="4"/>
  <c r="E53" i="4"/>
  <c r="D53" i="4"/>
  <c r="C53" i="4"/>
  <c r="B53" i="4"/>
  <c r="F52" i="4"/>
  <c r="E52" i="4"/>
  <c r="D52" i="4"/>
  <c r="C52" i="4"/>
  <c r="B52" i="4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F44" i="4"/>
  <c r="E44" i="4"/>
  <c r="D44" i="4"/>
  <c r="C44" i="4"/>
  <c r="B44" i="4"/>
  <c r="F43" i="4"/>
  <c r="E43" i="4"/>
  <c r="D43" i="4"/>
  <c r="C43" i="4"/>
  <c r="B43" i="4"/>
  <c r="F42" i="4"/>
  <c r="E42" i="4"/>
  <c r="D42" i="4"/>
  <c r="C42" i="4"/>
  <c r="B42" i="4"/>
  <c r="F41" i="4"/>
  <c r="E41" i="4"/>
  <c r="D41" i="4"/>
  <c r="C41" i="4"/>
  <c r="B41" i="4"/>
  <c r="F40" i="4"/>
  <c r="E40" i="4"/>
  <c r="D40" i="4"/>
  <c r="C40" i="4"/>
  <c r="B40" i="4"/>
  <c r="F39" i="4"/>
  <c r="E39" i="4"/>
  <c r="D39" i="4"/>
  <c r="C39" i="4"/>
  <c r="B39" i="4"/>
  <c r="F38" i="4"/>
  <c r="E38" i="4"/>
  <c r="D38" i="4"/>
  <c r="C38" i="4"/>
  <c r="B38" i="4"/>
  <c r="F37" i="4"/>
  <c r="E37" i="4"/>
  <c r="D37" i="4"/>
  <c r="C37" i="4"/>
  <c r="B37" i="4"/>
  <c r="F36" i="4"/>
  <c r="E36" i="4"/>
  <c r="D36" i="4"/>
  <c r="C36" i="4"/>
  <c r="B36" i="4"/>
  <c r="F35" i="4"/>
  <c r="E35" i="4"/>
  <c r="D35" i="4"/>
  <c r="C35" i="4"/>
  <c r="B35" i="4"/>
  <c r="F34" i="4"/>
  <c r="E34" i="4"/>
  <c r="D34" i="4"/>
  <c r="C34" i="4"/>
  <c r="B34" i="4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F2" i="4"/>
  <c r="E2" i="4"/>
  <c r="D2" i="4"/>
  <c r="C2" i="4"/>
  <c r="Z2" i="3"/>
  <c r="Y2" i="3"/>
  <c r="C2" i="3"/>
  <c r="Z61" i="3"/>
  <c r="Y61" i="3"/>
  <c r="H61" i="3"/>
  <c r="F61" i="3"/>
  <c r="E61" i="3"/>
  <c r="D61" i="3"/>
  <c r="C61" i="3"/>
  <c r="Z56" i="3"/>
  <c r="Y56" i="3"/>
  <c r="H56" i="3"/>
  <c r="F56" i="3"/>
  <c r="E56" i="3"/>
  <c r="D56" i="3"/>
  <c r="C56" i="3"/>
  <c r="Z55" i="3"/>
  <c r="Y55" i="3"/>
  <c r="H55" i="3"/>
  <c r="F55" i="3"/>
  <c r="E55" i="3"/>
  <c r="D55" i="3"/>
  <c r="C55" i="3"/>
  <c r="Z53" i="3"/>
  <c r="Y53" i="3"/>
  <c r="H53" i="3"/>
  <c r="F53" i="3"/>
  <c r="E53" i="3"/>
  <c r="D53" i="3"/>
  <c r="C53" i="3"/>
  <c r="Z49" i="3"/>
  <c r="Y49" i="3"/>
  <c r="H49" i="3"/>
  <c r="F49" i="3"/>
  <c r="E49" i="3"/>
  <c r="D49" i="3"/>
  <c r="C49" i="3"/>
  <c r="Z48" i="3"/>
  <c r="Y48" i="3"/>
  <c r="H48" i="3"/>
  <c r="F48" i="3"/>
  <c r="E48" i="3"/>
  <c r="D48" i="3"/>
  <c r="C48" i="3"/>
  <c r="Z43" i="3"/>
  <c r="Y43" i="3"/>
  <c r="H43" i="3"/>
  <c r="F43" i="3"/>
  <c r="E43" i="3"/>
  <c r="D43" i="3"/>
  <c r="C43" i="3"/>
  <c r="Z42" i="3"/>
  <c r="Y42" i="3"/>
  <c r="H42" i="3"/>
  <c r="F42" i="3"/>
  <c r="E42" i="3"/>
  <c r="D42" i="3"/>
  <c r="C42" i="3"/>
  <c r="Z41" i="3"/>
  <c r="Y41" i="3"/>
  <c r="H41" i="3"/>
  <c r="F41" i="3"/>
  <c r="E41" i="3"/>
  <c r="D41" i="3"/>
  <c r="C41" i="3"/>
  <c r="Z38" i="3"/>
  <c r="Y38" i="3"/>
  <c r="H38" i="3"/>
  <c r="F38" i="3"/>
  <c r="E38" i="3"/>
  <c r="D38" i="3"/>
  <c r="C38" i="3"/>
  <c r="Z34" i="3"/>
  <c r="Y34" i="3"/>
  <c r="H34" i="3"/>
  <c r="F34" i="3"/>
  <c r="E34" i="3"/>
  <c r="D34" i="3"/>
  <c r="C34" i="3"/>
  <c r="Z33" i="3"/>
  <c r="Y33" i="3"/>
  <c r="H33" i="3"/>
  <c r="F33" i="3"/>
  <c r="E33" i="3"/>
  <c r="D33" i="3"/>
  <c r="C33" i="3"/>
  <c r="Z32" i="3"/>
  <c r="Y32" i="3"/>
  <c r="H32" i="3"/>
  <c r="F32" i="3"/>
  <c r="E32" i="3"/>
  <c r="D32" i="3"/>
  <c r="C32" i="3"/>
  <c r="Z40" i="3"/>
  <c r="Y40" i="3"/>
  <c r="H40" i="3"/>
  <c r="F40" i="3"/>
  <c r="E40" i="3"/>
  <c r="D40" i="3"/>
  <c r="C40" i="3"/>
  <c r="Z31" i="3"/>
  <c r="Y31" i="3"/>
  <c r="H31" i="3"/>
  <c r="F31" i="3"/>
  <c r="E31" i="3"/>
  <c r="D31" i="3"/>
  <c r="C31" i="3"/>
  <c r="Z29" i="3"/>
  <c r="Y29" i="3"/>
  <c r="H29" i="3"/>
  <c r="F29" i="3"/>
  <c r="E29" i="3"/>
  <c r="D29" i="3"/>
  <c r="C29" i="3"/>
  <c r="Z25" i="3"/>
  <c r="Y25" i="3"/>
  <c r="H25" i="3"/>
  <c r="F25" i="3"/>
  <c r="E25" i="3"/>
  <c r="D25" i="3"/>
  <c r="C25" i="3"/>
  <c r="Z24" i="3"/>
  <c r="Y24" i="3"/>
  <c r="H24" i="3"/>
  <c r="F24" i="3"/>
  <c r="E24" i="3"/>
  <c r="D24" i="3"/>
  <c r="C24" i="3"/>
  <c r="Z22" i="3"/>
  <c r="Y22" i="3"/>
  <c r="H22" i="3"/>
  <c r="F22" i="3"/>
  <c r="E22" i="3"/>
  <c r="D22" i="3"/>
  <c r="C22" i="3"/>
  <c r="Z21" i="3"/>
  <c r="Y21" i="3"/>
  <c r="H21" i="3"/>
  <c r="F21" i="3"/>
  <c r="E21" i="3"/>
  <c r="D21" i="3"/>
  <c r="C21" i="3"/>
  <c r="Z19" i="3"/>
  <c r="Y19" i="3"/>
  <c r="H19" i="3"/>
  <c r="F19" i="3"/>
  <c r="E19" i="3"/>
  <c r="D19" i="3"/>
  <c r="C19" i="3"/>
  <c r="Z18" i="3"/>
  <c r="Y18" i="3"/>
  <c r="H18" i="3"/>
  <c r="F18" i="3"/>
  <c r="E18" i="3"/>
  <c r="D18" i="3"/>
  <c r="C18" i="3"/>
  <c r="Z16" i="3"/>
  <c r="Y16" i="3"/>
  <c r="H16" i="3"/>
  <c r="F16" i="3"/>
  <c r="E16" i="3"/>
  <c r="D16" i="3"/>
  <c r="C16" i="3"/>
  <c r="Z11" i="3"/>
  <c r="Y11" i="3"/>
  <c r="H11" i="3"/>
  <c r="F11" i="3"/>
  <c r="E11" i="3"/>
  <c r="D11" i="3"/>
  <c r="C11" i="3"/>
  <c r="Z9" i="3"/>
  <c r="Y9" i="3"/>
  <c r="H9" i="3"/>
  <c r="F9" i="3"/>
  <c r="E9" i="3"/>
  <c r="D9" i="3"/>
  <c r="C9" i="3"/>
  <c r="Z8" i="3"/>
  <c r="Y8" i="3"/>
  <c r="H8" i="3"/>
  <c r="F8" i="3"/>
  <c r="E8" i="3"/>
  <c r="D8" i="3"/>
  <c r="C8" i="3"/>
  <c r="Z6" i="3"/>
  <c r="Y6" i="3"/>
  <c r="H6" i="3"/>
  <c r="F6" i="3"/>
  <c r="E6" i="3"/>
  <c r="D6" i="3"/>
  <c r="C6" i="3"/>
  <c r="Z4" i="3"/>
  <c r="Y4" i="3"/>
  <c r="H4" i="3"/>
  <c r="F4" i="3"/>
  <c r="E4" i="3"/>
  <c r="D4" i="3"/>
  <c r="C4" i="3"/>
  <c r="Z3" i="3"/>
  <c r="Y3" i="3"/>
  <c r="H3" i="3"/>
  <c r="F3" i="3"/>
  <c r="E3" i="3"/>
  <c r="D3" i="3"/>
  <c r="C3" i="3"/>
  <c r="Z15" i="3"/>
  <c r="Y15" i="3"/>
  <c r="H15" i="3"/>
  <c r="F15" i="3"/>
  <c r="E15" i="3"/>
  <c r="D15" i="3"/>
  <c r="C15" i="3"/>
  <c r="Z63" i="3"/>
  <c r="Y63" i="3"/>
  <c r="H63" i="3"/>
  <c r="F63" i="3"/>
  <c r="E63" i="3"/>
  <c r="D63" i="3"/>
  <c r="C63" i="3"/>
  <c r="Z62" i="3"/>
  <c r="Y62" i="3"/>
  <c r="H62" i="3"/>
  <c r="F62" i="3"/>
  <c r="E62" i="3"/>
  <c r="D62" i="3"/>
  <c r="C62" i="3"/>
  <c r="Z60" i="3"/>
  <c r="Y60" i="3"/>
  <c r="H60" i="3"/>
  <c r="F60" i="3"/>
  <c r="E60" i="3"/>
  <c r="D60" i="3"/>
  <c r="C60" i="3"/>
  <c r="Z59" i="3"/>
  <c r="Y59" i="3"/>
  <c r="H59" i="3"/>
  <c r="F59" i="3"/>
  <c r="E59" i="3"/>
  <c r="D59" i="3"/>
  <c r="C59" i="3"/>
  <c r="Z58" i="3"/>
  <c r="Y58" i="3"/>
  <c r="H58" i="3"/>
  <c r="F58" i="3"/>
  <c r="E58" i="3"/>
  <c r="D58" i="3"/>
  <c r="C58" i="3"/>
  <c r="Z57" i="3"/>
  <c r="Y57" i="3"/>
  <c r="H57" i="3"/>
  <c r="F57" i="3"/>
  <c r="E57" i="3"/>
  <c r="D57" i="3"/>
  <c r="C57" i="3"/>
  <c r="Z54" i="3"/>
  <c r="Y54" i="3"/>
  <c r="H54" i="3"/>
  <c r="F54" i="3"/>
  <c r="E54" i="3"/>
  <c r="D54" i="3"/>
  <c r="C54" i="3"/>
  <c r="Z52" i="3"/>
  <c r="Y52" i="3"/>
  <c r="H52" i="3"/>
  <c r="F52" i="3"/>
  <c r="E52" i="3"/>
  <c r="D52" i="3"/>
  <c r="C52" i="3"/>
  <c r="Z51" i="3"/>
  <c r="Y51" i="3"/>
  <c r="H51" i="3"/>
  <c r="F51" i="3"/>
  <c r="E51" i="3"/>
  <c r="D51" i="3"/>
  <c r="C51" i="3"/>
  <c r="Z50" i="3"/>
  <c r="Y50" i="3"/>
  <c r="H50" i="3"/>
  <c r="F50" i="3"/>
  <c r="E50" i="3"/>
  <c r="D50" i="3"/>
  <c r="C50" i="3"/>
  <c r="Z47" i="3"/>
  <c r="Y47" i="3"/>
  <c r="H47" i="3"/>
  <c r="F47" i="3"/>
  <c r="E47" i="3"/>
  <c r="D47" i="3"/>
  <c r="C47" i="3"/>
  <c r="Z46" i="3"/>
  <c r="Y46" i="3"/>
  <c r="H46" i="3"/>
  <c r="F46" i="3"/>
  <c r="E46" i="3"/>
  <c r="D46" i="3"/>
  <c r="C46" i="3"/>
  <c r="Z45" i="3"/>
  <c r="Y45" i="3"/>
  <c r="H45" i="3"/>
  <c r="F45" i="3"/>
  <c r="E45" i="3"/>
  <c r="D45" i="3"/>
  <c r="C45" i="3"/>
  <c r="Z44" i="3"/>
  <c r="Y44" i="3"/>
  <c r="H44" i="3"/>
  <c r="F44" i="3"/>
  <c r="E44" i="3"/>
  <c r="D44" i="3"/>
  <c r="C44" i="3"/>
  <c r="Z39" i="3"/>
  <c r="Y39" i="3"/>
  <c r="H39" i="3"/>
  <c r="F39" i="3"/>
  <c r="E39" i="3"/>
  <c r="D39" i="3"/>
  <c r="C39" i="3"/>
  <c r="Z37" i="3"/>
  <c r="Y37" i="3"/>
  <c r="H37" i="3"/>
  <c r="F37" i="3"/>
  <c r="E37" i="3"/>
  <c r="D37" i="3"/>
  <c r="C37" i="3"/>
  <c r="Z36" i="3"/>
  <c r="Y36" i="3"/>
  <c r="H36" i="3"/>
  <c r="F36" i="3"/>
  <c r="E36" i="3"/>
  <c r="D36" i="3"/>
  <c r="C36" i="3"/>
  <c r="Z35" i="3"/>
  <c r="Y35" i="3"/>
  <c r="H35" i="3"/>
  <c r="F35" i="3"/>
  <c r="E35" i="3"/>
  <c r="D35" i="3"/>
  <c r="C35" i="3"/>
  <c r="Z30" i="3"/>
  <c r="Y30" i="3"/>
  <c r="H30" i="3"/>
  <c r="F30" i="3"/>
  <c r="E30" i="3"/>
  <c r="D30" i="3"/>
  <c r="C30" i="3"/>
  <c r="Z28" i="3"/>
  <c r="Y28" i="3"/>
  <c r="H28" i="3"/>
  <c r="F28" i="3"/>
  <c r="E28" i="3"/>
  <c r="D28" i="3"/>
  <c r="C28" i="3"/>
  <c r="Z27" i="3"/>
  <c r="Y27" i="3"/>
  <c r="H27" i="3"/>
  <c r="F27" i="3"/>
  <c r="E27" i="3"/>
  <c r="D27" i="3"/>
  <c r="C27" i="3"/>
  <c r="Z26" i="3"/>
  <c r="Y26" i="3"/>
  <c r="H26" i="3"/>
  <c r="F26" i="3"/>
  <c r="E26" i="3"/>
  <c r="D26" i="3"/>
  <c r="C26" i="3"/>
  <c r="Z23" i="3"/>
  <c r="Y23" i="3"/>
  <c r="H23" i="3"/>
  <c r="F23" i="3"/>
  <c r="E23" i="3"/>
  <c r="D23" i="3"/>
  <c r="C23" i="3"/>
  <c r="Z20" i="3"/>
  <c r="Y20" i="3"/>
  <c r="H20" i="3"/>
  <c r="F20" i="3"/>
  <c r="E20" i="3"/>
  <c r="D20" i="3"/>
  <c r="C20" i="3"/>
  <c r="Z17" i="3"/>
  <c r="Y17" i="3"/>
  <c r="H17" i="3"/>
  <c r="F17" i="3"/>
  <c r="E17" i="3"/>
  <c r="D17" i="3"/>
  <c r="C17" i="3"/>
  <c r="Z14" i="3"/>
  <c r="Y14" i="3"/>
  <c r="H14" i="3"/>
  <c r="F14" i="3"/>
  <c r="E14" i="3"/>
  <c r="D14" i="3"/>
  <c r="C14" i="3"/>
  <c r="Z13" i="3"/>
  <c r="Y13" i="3"/>
  <c r="H13" i="3"/>
  <c r="F13" i="3"/>
  <c r="E13" i="3"/>
  <c r="D13" i="3"/>
  <c r="C13" i="3"/>
  <c r="Z12" i="3"/>
  <c r="Y12" i="3"/>
  <c r="H12" i="3"/>
  <c r="F12" i="3"/>
  <c r="E12" i="3"/>
  <c r="D12" i="3"/>
  <c r="C12" i="3"/>
  <c r="Z10" i="3"/>
  <c r="Y10" i="3"/>
  <c r="H10" i="3"/>
  <c r="F10" i="3"/>
  <c r="E10" i="3"/>
  <c r="D10" i="3"/>
  <c r="C10" i="3"/>
  <c r="Z7" i="3"/>
  <c r="Y7" i="3"/>
  <c r="H7" i="3"/>
  <c r="F7" i="3"/>
  <c r="E7" i="3"/>
  <c r="D7" i="3"/>
  <c r="C7" i="3"/>
  <c r="Z5" i="3"/>
  <c r="Y5" i="3"/>
  <c r="H5" i="3"/>
  <c r="F5" i="3"/>
  <c r="E5" i="3"/>
  <c r="D5" i="3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X81" i="2"/>
  <c r="W81" i="2"/>
  <c r="B81" i="2"/>
  <c r="A81" i="2"/>
  <c r="X79" i="2"/>
  <c r="W79" i="2"/>
  <c r="B79" i="2"/>
  <c r="A79" i="2"/>
  <c r="X74" i="2"/>
  <c r="W74" i="2"/>
  <c r="B74" i="2"/>
  <c r="A74" i="2"/>
  <c r="X73" i="2"/>
  <c r="W73" i="2"/>
  <c r="B73" i="2"/>
  <c r="A73" i="2"/>
  <c r="X69" i="2"/>
  <c r="W69" i="2"/>
  <c r="B69" i="2"/>
  <c r="A69" i="2"/>
  <c r="X63" i="2"/>
  <c r="W63" i="2"/>
  <c r="B63" i="2"/>
  <c r="A63" i="2"/>
  <c r="X44" i="2"/>
  <c r="W44" i="2"/>
  <c r="B44" i="2"/>
  <c r="A44" i="2"/>
  <c r="X50" i="2"/>
  <c r="W50" i="2"/>
  <c r="B50" i="2"/>
  <c r="A50" i="2"/>
  <c r="X42" i="2"/>
  <c r="W42" i="2"/>
  <c r="B42" i="2"/>
  <c r="A42" i="2"/>
  <c r="X41" i="2"/>
  <c r="W41" i="2"/>
  <c r="B41" i="2"/>
  <c r="A41" i="2"/>
  <c r="X39" i="2"/>
  <c r="W39" i="2"/>
  <c r="B39" i="2"/>
  <c r="A39" i="2"/>
  <c r="X35" i="2"/>
  <c r="W35" i="2"/>
  <c r="B35" i="2"/>
  <c r="A35" i="2"/>
  <c r="X29" i="2"/>
  <c r="W29" i="2"/>
  <c r="B29" i="2"/>
  <c r="A29" i="2"/>
  <c r="X28" i="2"/>
  <c r="W28" i="2"/>
  <c r="B28" i="2"/>
  <c r="A28" i="2"/>
  <c r="X25" i="2"/>
  <c r="W25" i="2"/>
  <c r="B25" i="2"/>
  <c r="A25" i="2"/>
  <c r="X20" i="2"/>
  <c r="W20" i="2"/>
  <c r="B20" i="2"/>
  <c r="A20" i="2"/>
  <c r="X17" i="2"/>
  <c r="W17" i="2"/>
  <c r="B17" i="2"/>
  <c r="A17" i="2"/>
  <c r="X15" i="2"/>
  <c r="W15" i="2"/>
  <c r="B15" i="2"/>
  <c r="A15" i="2"/>
  <c r="X13" i="2"/>
  <c r="W13" i="2"/>
  <c r="B13" i="2"/>
  <c r="A13" i="2"/>
  <c r="X11" i="2"/>
  <c r="W11" i="2"/>
  <c r="B11" i="2"/>
  <c r="A11" i="2"/>
  <c r="X10" i="2"/>
  <c r="W10" i="2"/>
  <c r="B10" i="2"/>
  <c r="A10" i="2"/>
  <c r="X7" i="2"/>
  <c r="W7" i="2"/>
  <c r="B7" i="2"/>
  <c r="A7" i="2"/>
  <c r="X6" i="2"/>
  <c r="W6" i="2"/>
  <c r="B6" i="2"/>
  <c r="A6" i="2"/>
  <c r="X5" i="2"/>
  <c r="W5" i="2"/>
  <c r="B5" i="2"/>
  <c r="A5" i="2"/>
  <c r="X82" i="2"/>
  <c r="W82" i="2"/>
  <c r="B82" i="2"/>
  <c r="A82" i="2"/>
  <c r="X75" i="2"/>
  <c r="W75" i="2"/>
  <c r="B75" i="2"/>
  <c r="A75" i="2"/>
  <c r="X72" i="2"/>
  <c r="W72" i="2"/>
  <c r="B72" i="2"/>
  <c r="A72" i="2"/>
  <c r="X70" i="2"/>
  <c r="W70" i="2"/>
  <c r="B70" i="2"/>
  <c r="A70" i="2"/>
  <c r="X68" i="2"/>
  <c r="W68" i="2"/>
  <c r="B68" i="2"/>
  <c r="A68" i="2"/>
  <c r="X67" i="2"/>
  <c r="W67" i="2"/>
  <c r="B67" i="2"/>
  <c r="A67" i="2"/>
  <c r="X60" i="2"/>
  <c r="W60" i="2"/>
  <c r="B60" i="2"/>
  <c r="A60" i="2"/>
  <c r="X57" i="2"/>
  <c r="W57" i="2"/>
  <c r="B57" i="2"/>
  <c r="A57" i="2"/>
  <c r="X55" i="2"/>
  <c r="W55" i="2"/>
  <c r="B55" i="2"/>
  <c r="A55" i="2"/>
  <c r="X53" i="2"/>
  <c r="W53" i="2"/>
  <c r="B53" i="2"/>
  <c r="A53" i="2"/>
  <c r="X52" i="2"/>
  <c r="W52" i="2"/>
  <c r="B52" i="2"/>
  <c r="A52" i="2"/>
  <c r="X49" i="2"/>
  <c r="W49" i="2"/>
  <c r="B49" i="2"/>
  <c r="A49" i="2"/>
  <c r="X46" i="2"/>
  <c r="W46" i="2"/>
  <c r="B46" i="2"/>
  <c r="A46" i="2"/>
  <c r="X43" i="2"/>
  <c r="W43" i="2"/>
  <c r="B43" i="2"/>
  <c r="A43" i="2"/>
  <c r="X37" i="2"/>
  <c r="W37" i="2"/>
  <c r="B37" i="2"/>
  <c r="A37" i="2"/>
  <c r="X33" i="2"/>
  <c r="W33" i="2"/>
  <c r="B33" i="2"/>
  <c r="A33" i="2"/>
  <c r="X32" i="2"/>
  <c r="W32" i="2"/>
  <c r="B32" i="2"/>
  <c r="A32" i="2"/>
  <c r="X27" i="2"/>
  <c r="W27" i="2"/>
  <c r="B27" i="2"/>
  <c r="A27" i="2"/>
  <c r="X23" i="2"/>
  <c r="W23" i="2"/>
  <c r="B23" i="2"/>
  <c r="A23" i="2"/>
  <c r="X22" i="2"/>
  <c r="W22" i="2"/>
  <c r="B22" i="2"/>
  <c r="A22" i="2"/>
  <c r="X18" i="2"/>
  <c r="W18" i="2"/>
  <c r="B18" i="2"/>
  <c r="A18" i="2"/>
  <c r="X14" i="2"/>
  <c r="W14" i="2"/>
  <c r="B14" i="2"/>
  <c r="A14" i="2"/>
  <c r="X12" i="2"/>
  <c r="W12" i="2"/>
  <c r="B12" i="2"/>
  <c r="A12" i="2"/>
  <c r="X3" i="2"/>
  <c r="W3" i="2"/>
  <c r="B3" i="2"/>
  <c r="A3" i="2"/>
  <c r="X2" i="2"/>
  <c r="W2" i="2"/>
  <c r="B2" i="2"/>
  <c r="A2" i="2"/>
  <c r="X34" i="2"/>
  <c r="W34" i="2"/>
  <c r="B34" i="2"/>
  <c r="A34" i="2"/>
  <c r="X80" i="2"/>
  <c r="W80" i="2"/>
  <c r="B80" i="2"/>
  <c r="A80" i="2"/>
  <c r="X78" i="2"/>
  <c r="W78" i="2"/>
  <c r="B78" i="2"/>
  <c r="A78" i="2"/>
  <c r="X77" i="2"/>
  <c r="W77" i="2"/>
  <c r="B77" i="2"/>
  <c r="A77" i="2"/>
  <c r="X76" i="2"/>
  <c r="W76" i="2"/>
  <c r="B76" i="2"/>
  <c r="A76" i="2"/>
  <c r="X71" i="2"/>
  <c r="W71" i="2"/>
  <c r="B71" i="2"/>
  <c r="A71" i="2"/>
  <c r="X66" i="2"/>
  <c r="W66" i="2"/>
  <c r="B66" i="2"/>
  <c r="A66" i="2"/>
  <c r="X65" i="2"/>
  <c r="W65" i="2"/>
  <c r="B65" i="2"/>
  <c r="A65" i="2"/>
  <c r="X64" i="2"/>
  <c r="W64" i="2"/>
  <c r="B64" i="2"/>
  <c r="A64" i="2"/>
  <c r="X62" i="2"/>
  <c r="W62" i="2"/>
  <c r="B62" i="2"/>
  <c r="A62" i="2"/>
  <c r="X61" i="2"/>
  <c r="W61" i="2"/>
  <c r="B61" i="2"/>
  <c r="A61" i="2"/>
  <c r="X59" i="2"/>
  <c r="W59" i="2"/>
  <c r="B59" i="2"/>
  <c r="A59" i="2"/>
  <c r="X58" i="2"/>
  <c r="W58" i="2"/>
  <c r="B58" i="2"/>
  <c r="A58" i="2"/>
  <c r="X56" i="2"/>
  <c r="W56" i="2"/>
  <c r="B56" i="2"/>
  <c r="A56" i="2"/>
  <c r="X54" i="2"/>
  <c r="W54" i="2"/>
  <c r="B54" i="2"/>
  <c r="A54" i="2"/>
  <c r="X51" i="2"/>
  <c r="W51" i="2"/>
  <c r="B51" i="2"/>
  <c r="A51" i="2"/>
  <c r="X48" i="2"/>
  <c r="W48" i="2"/>
  <c r="B48" i="2"/>
  <c r="A48" i="2"/>
  <c r="X47" i="2"/>
  <c r="W47" i="2"/>
  <c r="B47" i="2"/>
  <c r="A47" i="2"/>
  <c r="X45" i="2"/>
  <c r="W45" i="2"/>
  <c r="B45" i="2"/>
  <c r="A45" i="2"/>
  <c r="X40" i="2"/>
  <c r="W40" i="2"/>
  <c r="B40" i="2"/>
  <c r="A40" i="2"/>
  <c r="X38" i="2"/>
  <c r="W38" i="2"/>
  <c r="B38" i="2"/>
  <c r="A38" i="2"/>
  <c r="X36" i="2"/>
  <c r="W36" i="2"/>
  <c r="B36" i="2"/>
  <c r="A36" i="2"/>
  <c r="X31" i="2"/>
  <c r="W31" i="2"/>
  <c r="B31" i="2"/>
  <c r="A31" i="2"/>
  <c r="X30" i="2"/>
  <c r="W30" i="2"/>
  <c r="B30" i="2"/>
  <c r="A30" i="2"/>
  <c r="X26" i="2"/>
  <c r="W26" i="2"/>
  <c r="B26" i="2"/>
  <c r="A26" i="2"/>
  <c r="X24" i="2"/>
  <c r="W24" i="2"/>
  <c r="B24" i="2"/>
  <c r="A24" i="2"/>
  <c r="X21" i="2"/>
  <c r="W21" i="2"/>
  <c r="B21" i="2"/>
  <c r="A21" i="2"/>
  <c r="X19" i="2"/>
  <c r="W19" i="2"/>
  <c r="B19" i="2"/>
  <c r="A19" i="2"/>
  <c r="X16" i="2"/>
  <c r="W16" i="2"/>
  <c r="B16" i="2"/>
  <c r="A16" i="2"/>
  <c r="X9" i="2"/>
  <c r="W9" i="2"/>
  <c r="B9" i="2"/>
  <c r="A9" i="2"/>
  <c r="X8" i="2"/>
  <c r="W8" i="2"/>
  <c r="B8" i="2"/>
  <c r="A8" i="2"/>
  <c r="X4" i="2"/>
  <c r="W4" i="2"/>
  <c r="B4" i="2"/>
  <c r="A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ID#AAABXLyEwok
HP    (2024-10-30 03:11:10)
DATA BELUM DIINPUT</t>
        </r>
      </text>
    </comment>
    <comment ref="D57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ID#AAABXLyEwog
HP    (2024-10-30 03:11:10)
DATA BELUM DIINPUT</t>
        </r>
      </text>
    </comment>
    <comment ref="D82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DATA BELUM DIINPUT
	-HP</t>
        </r>
      </text>
    </comment>
  </commentList>
</comments>
</file>

<file path=xl/sharedStrings.xml><?xml version="1.0" encoding="utf-8"?>
<sst xmlns="http://schemas.openxmlformats.org/spreadsheetml/2006/main" count="3544" uniqueCount="1417">
  <si>
    <t>DAFTAR CALON PESERTA UJIAN SEKOLAH TAHUN PELAJARAN 2024/2025</t>
  </si>
  <si>
    <t>(US 1)</t>
  </si>
  <si>
    <t>Nama Sekolah</t>
  </si>
  <si>
    <t>: SMK BINA INDUSTRI</t>
  </si>
  <si>
    <t>Alamat</t>
  </si>
  <si>
    <t>: JL.Alun-alun Kp.Cibarengkok Ds.Jatiwangi</t>
  </si>
  <si>
    <t>No. Telpon</t>
  </si>
  <si>
    <t>: 021- 82622655</t>
  </si>
  <si>
    <t>Kelurahan</t>
  </si>
  <si>
    <t>: Jatiwangi</t>
  </si>
  <si>
    <t>Kecamatan</t>
  </si>
  <si>
    <t>: Cikarang Barat</t>
  </si>
  <si>
    <t>Kode Pos</t>
  </si>
  <si>
    <t>: .17849</t>
  </si>
  <si>
    <t>Status Akreditasi</t>
  </si>
  <si>
    <t xml:space="preserve">: </t>
  </si>
  <si>
    <t>Nomor</t>
  </si>
  <si>
    <t>Nama Calon Peserta</t>
  </si>
  <si>
    <t>L/P</t>
  </si>
  <si>
    <t>Tempat Lahir</t>
  </si>
  <si>
    <t>Tanggal/Tahun Lahir</t>
  </si>
  <si>
    <t>Agama</t>
  </si>
  <si>
    <t>Nama Orang Tua</t>
  </si>
  <si>
    <t>Alamat Orang Tua / Wali</t>
  </si>
  <si>
    <t>STTB Setingkat lebih rendah</t>
  </si>
  <si>
    <t>Tahun Raport pada kelas</t>
  </si>
  <si>
    <t>Urut</t>
  </si>
  <si>
    <t>NIS</t>
  </si>
  <si>
    <t>NISN</t>
  </si>
  <si>
    <t>Tahun</t>
  </si>
  <si>
    <t>X</t>
  </si>
  <si>
    <t>XI</t>
  </si>
  <si>
    <t>XII</t>
  </si>
  <si>
    <t>TEKNIK dan BISNIS SEPEDA MOTOR</t>
  </si>
  <si>
    <t>0072124779</t>
  </si>
  <si>
    <t>ADAM ZAKIE RAMADHAN</t>
  </si>
  <si>
    <t>L</t>
  </si>
  <si>
    <t>BEKASI</t>
  </si>
  <si>
    <t>23 April 2007</t>
  </si>
  <si>
    <t>Islam</t>
  </si>
  <si>
    <t xml:space="preserve">BOIH </t>
  </si>
  <si>
    <t>Kp. Lubang Buaya RT 02/08 Ds. Lubang Buaya Kec. Setu</t>
  </si>
  <si>
    <t>MTs-22 100 155202</t>
  </si>
  <si>
    <t>2022/2023</t>
  </si>
  <si>
    <t>2023/2024</t>
  </si>
  <si>
    <t>2024/2025</t>
  </si>
  <si>
    <t>0077315289</t>
  </si>
  <si>
    <t>AKSAY SETIA AJI</t>
  </si>
  <si>
    <t>24 Maret 2007</t>
  </si>
  <si>
    <t>TUGIYANTO</t>
  </si>
  <si>
    <t>Kp. Rawa Julang RT 004/002 Ds. Mekarwangi Kec. Cik-Bar</t>
  </si>
  <si>
    <t>Mts-22 100155470</t>
  </si>
  <si>
    <t>0078124071</t>
  </si>
  <si>
    <t>ALFRIYANSYAH FINDO SALMAN</t>
  </si>
  <si>
    <t>30 Juni 2007</t>
  </si>
  <si>
    <t>SUROSO</t>
  </si>
  <si>
    <t>Jl. Laik Jalan Blok C No. 2 Perhubdat RT 002/012 Ds. Cibuntu Kec. Cibitung</t>
  </si>
  <si>
    <t>MTs-22 100155472</t>
  </si>
  <si>
    <t>0134157802</t>
  </si>
  <si>
    <t>ARIEF OKTA PRATAMA</t>
  </si>
  <si>
    <t>CIAMIS</t>
  </si>
  <si>
    <t>20 Oktober 2006</t>
  </si>
  <si>
    <t>ARLEX FEBRI SURIANTO</t>
  </si>
  <si>
    <t>Kp. Jarakosta RT 002/001 Ds. Danau Indah Kec. Cik-Bar</t>
  </si>
  <si>
    <t>DN-02/D-SMP/K13/0087535</t>
  </si>
  <si>
    <t>0072858452</t>
  </si>
  <si>
    <t>DEDEN RIZKY SAPUTRA</t>
  </si>
  <si>
    <t>8 Agustus 2007</t>
  </si>
  <si>
    <t>SANDIH</t>
  </si>
  <si>
    <t>Kp. Babakan RT 002/001 Ds. Jatiwangi Kec. Cik-Bar</t>
  </si>
  <si>
    <t>MTs-22 100155210</t>
  </si>
  <si>
    <t>0073210618</t>
  </si>
  <si>
    <t>DENI RAHMAT SAPUTRA</t>
  </si>
  <si>
    <t>MTs-22 100155213</t>
  </si>
  <si>
    <t>0072762394</t>
  </si>
  <si>
    <t>DITO AJI TRI CAHYO</t>
  </si>
  <si>
    <t>14 April 2007</t>
  </si>
  <si>
    <t>BUANG SANTOSO (ALM)</t>
  </si>
  <si>
    <t>Kp. Rawa Julang RT 003/002 Ds. Mekarwangi</t>
  </si>
  <si>
    <t>MTs-22 100155214</t>
  </si>
  <si>
    <t>0078607611</t>
  </si>
  <si>
    <t>EGA MAULANA RAYHAN</t>
  </si>
  <si>
    <t>10 Januari 2007</t>
  </si>
  <si>
    <t>NAMIN SUWANDA</t>
  </si>
  <si>
    <t>Kp. Cibarengkok RT 001/002 Ds. Jatiwangi Kec. Cik-Bar</t>
  </si>
  <si>
    <t>MTs-22100155215</t>
  </si>
  <si>
    <t>0071107397</t>
  </si>
  <si>
    <t>FAUZA WIJAYA</t>
  </si>
  <si>
    <t>3 Juli 2007</t>
  </si>
  <si>
    <t>MURKIM</t>
  </si>
  <si>
    <t>Kp. Rawa Julang RT 001/001 Ds. Mekarwangi Kec. Cik-Bar</t>
  </si>
  <si>
    <t>MTs-22100156173</t>
  </si>
  <si>
    <t>0072628439</t>
  </si>
  <si>
    <t>FAZRI RAMDANI AL BASIT</t>
  </si>
  <si>
    <t>3 Oktober 2007</t>
  </si>
  <si>
    <t>MUHAMAD SYARIF</t>
  </si>
  <si>
    <t>Kp. Jarakosta RT 001/001 Ds. Danau Indah</t>
  </si>
  <si>
    <t>DN-02/D-SMP/K13/0087469</t>
  </si>
  <si>
    <t>0064029233</t>
  </si>
  <si>
    <t>INTO</t>
  </si>
  <si>
    <t>24 Februari 2006</t>
  </si>
  <si>
    <t>KARNO BIN EMUK</t>
  </si>
  <si>
    <t>DN-02/D-SMPK13/0087607</t>
  </si>
  <si>
    <t>0075073374</t>
  </si>
  <si>
    <t>IRPAN MAULANA</t>
  </si>
  <si>
    <t>19 Januari 2007</t>
  </si>
  <si>
    <t>SALIM</t>
  </si>
  <si>
    <t>Kp. Jarakosta Kebon Kelapa RT 006/004 Ds. Sukadanau Kec. Cik-Bar</t>
  </si>
  <si>
    <t>DN-02/D-SMP/K13/0087579</t>
  </si>
  <si>
    <t>0066462669</t>
  </si>
  <si>
    <t>JULIUS MANGI ULY</t>
  </si>
  <si>
    <t>BANDUNG</t>
  </si>
  <si>
    <t>23 Juni 2006</t>
  </si>
  <si>
    <t>YONAS MANGI ULY</t>
  </si>
  <si>
    <t>Kp. Cibarengkok Ds. Jatiwangi RT 002/002 Kec. Cik-Bar</t>
  </si>
  <si>
    <t>DN-02/D-SMP/K13/0002690</t>
  </si>
  <si>
    <t>0072204586</t>
  </si>
  <si>
    <t>M.RHAFLY RAHMAN</t>
  </si>
  <si>
    <t>10 April 2007</t>
  </si>
  <si>
    <t>SURI SURAHMAN</t>
  </si>
  <si>
    <t>Ko. Rawa Julang RT 05/02 Ds. Mekarwangi Kec. Cik-Bar</t>
  </si>
  <si>
    <t>MTs-22 100155482</t>
  </si>
  <si>
    <t>0071036654</t>
  </si>
  <si>
    <t>MARJAYA</t>
  </si>
  <si>
    <t>21 Mei 2007</t>
  </si>
  <si>
    <t>KOMARUDIN</t>
  </si>
  <si>
    <t xml:space="preserve">Kp. Telajung RT 02/05 Desa Telajung Kec. Cikarang Barat </t>
  </si>
  <si>
    <t>MTs-22 100154230</t>
  </si>
  <si>
    <t>0064639984</t>
  </si>
  <si>
    <t>MARSANDA</t>
  </si>
  <si>
    <t>25 April 2006</t>
  </si>
  <si>
    <t>RASAN BIN BADENG</t>
  </si>
  <si>
    <t>Kp. Jarakosta RT 0002/001 Ds. Danau Indah Kec. Cik-Bar</t>
  </si>
  <si>
    <t>DN-02/D-SMP/K13/0087612</t>
  </si>
  <si>
    <t>0064164564</t>
  </si>
  <si>
    <t>MUHAMAD FADILAH</t>
  </si>
  <si>
    <t>TASIK MALAYA</t>
  </si>
  <si>
    <t>5 September 2006</t>
  </si>
  <si>
    <t>ELI SUHERMAN</t>
  </si>
  <si>
    <t>Kp. Cibarengkok RT 001/001 Ds. Jatiwangi</t>
  </si>
  <si>
    <t>DN-02/D-SMP/K13/0468172</t>
  </si>
  <si>
    <t>0076466900</t>
  </si>
  <si>
    <t>MUHAMAD RIDWAN</t>
  </si>
  <si>
    <t>1 Mei 2007</t>
  </si>
  <si>
    <t>SUKARNO</t>
  </si>
  <si>
    <t>Kp. Jarakosta RT 006/004 Ds. Sukadanau Kec. Cik-Bar</t>
  </si>
  <si>
    <t>DN-02/D-SMP/K13/0087587</t>
  </si>
  <si>
    <t>0078778308</t>
  </si>
  <si>
    <t>MUHAMMAD DAFFA BADRANI</t>
  </si>
  <si>
    <t>13 Mei 2007</t>
  </si>
  <si>
    <t>ANANG WIHANANTO</t>
  </si>
  <si>
    <t>MTs-22 100156199</t>
  </si>
  <si>
    <t>0062690739</t>
  </si>
  <si>
    <t>MUHAMMAD HAFIZ</t>
  </si>
  <si>
    <t>17 Desember 2006</t>
  </si>
  <si>
    <t>DRS. HASANUDDIN</t>
  </si>
  <si>
    <t>DN-02/D-SMP/K13/0087406</t>
  </si>
  <si>
    <t>0073389680</t>
  </si>
  <si>
    <t>MUHAMMAD NUR</t>
  </si>
  <si>
    <t>16 Januari 2007</t>
  </si>
  <si>
    <t>NIRAN</t>
  </si>
  <si>
    <t>Kp. Mariuk RT 004/002 Ds. Ganda Mekar</t>
  </si>
  <si>
    <t>DN-02/D-SMP/K13/0108346</t>
  </si>
  <si>
    <t>0078597234</t>
  </si>
  <si>
    <t>MUHAMMAD REIFAN</t>
  </si>
  <si>
    <t>1 April 2007</t>
  </si>
  <si>
    <t>SYAEFUL</t>
  </si>
  <si>
    <t>Kp. Jarakosta RT 002/002 Ds. Danau Indah No. A26</t>
  </si>
  <si>
    <t>DN-02/D-SMP/K13/0087479</t>
  </si>
  <si>
    <t>0072510220</t>
  </si>
  <si>
    <t>MUHAMMAD SATRIA ZAINAL</t>
  </si>
  <si>
    <t>2 Januari 2007</t>
  </si>
  <si>
    <t>ZAINAL ABIDIN</t>
  </si>
  <si>
    <t>Kp. Rawa Julang RT 002/001 Ds. Ganda Mekar Kec. Cik-Bar</t>
  </si>
  <si>
    <t>DN-02/D-SMP/K13/0087986</t>
  </si>
  <si>
    <t>0078400677</t>
  </si>
  <si>
    <t>NAUFAL ASAD</t>
  </si>
  <si>
    <t>5 Agustus 2007</t>
  </si>
  <si>
    <t>ABDUL HASSIM</t>
  </si>
  <si>
    <t>MTs-11 100155228</t>
  </si>
  <si>
    <t>0061172472</t>
  </si>
  <si>
    <t>PAHRUDIN HIDAYAT</t>
  </si>
  <si>
    <t>23 Agustus 2006</t>
  </si>
  <si>
    <t>NEMAT</t>
  </si>
  <si>
    <t xml:space="preserve">Desa Ganda Mekar Kec. CIkarang Barat Kab. Bekasi, Jawa Barat </t>
  </si>
  <si>
    <t>MTs-22 100155486</t>
  </si>
  <si>
    <t>0071750896</t>
  </si>
  <si>
    <t>RAFA ARDIANSYAH</t>
  </si>
  <si>
    <t>5 Maret 2007</t>
  </si>
  <si>
    <t>PURWADU</t>
  </si>
  <si>
    <t>MTs-22 100155524</t>
  </si>
  <si>
    <t>0064628744</t>
  </si>
  <si>
    <t>ROY TANSRI ARTAMA</t>
  </si>
  <si>
    <t>SRAGEN</t>
  </si>
  <si>
    <t>02 Mei 2007</t>
  </si>
  <si>
    <t>SRI YONO</t>
  </si>
  <si>
    <t xml:space="preserve">Kp. Mariuk Rt 003/005 Desa Gandamekar, Kec. Cikarang Barat </t>
  </si>
  <si>
    <t>DN-02/D-SMP/K13/0087487</t>
  </si>
  <si>
    <t>0071829562</t>
  </si>
  <si>
    <t>SATRYO PASHA RAMANDA</t>
  </si>
  <si>
    <t>TANGGERANG</t>
  </si>
  <si>
    <t>23 Januari 2007</t>
  </si>
  <si>
    <t>DWINANTO WIBOWO</t>
  </si>
  <si>
    <t>Perum Grand Mutiara Gading Blok I6 No. 16 Telajung, Cik-Bar</t>
  </si>
  <si>
    <t>MTs-22 100156219</t>
  </si>
  <si>
    <t>0078911090</t>
  </si>
  <si>
    <t>SOBRIYANTO</t>
  </si>
  <si>
    <t>IDUT</t>
  </si>
  <si>
    <t>Kp. Cisaat RT 013/006 Ds. Kertarahayu Kec. Setu Kab. Bekasi</t>
  </si>
  <si>
    <t>DN-02/D-SMP/K13/0108394</t>
  </si>
  <si>
    <t>0078505225</t>
  </si>
  <si>
    <t>WANA SUMARNA</t>
  </si>
  <si>
    <t>4 September 2007</t>
  </si>
  <si>
    <t>UMAR SUMARNA</t>
  </si>
  <si>
    <t>Kp. Babakan RT 002/010 Ds. Telajung Kec. Cik-Bar Kab. Bekasi</t>
  </si>
  <si>
    <t>MTs- 22 100155622</t>
  </si>
  <si>
    <t>0071843924</t>
  </si>
  <si>
    <t>WISNU BINTANG BERLIAN</t>
  </si>
  <si>
    <t>16 April 2007</t>
  </si>
  <si>
    <t>TOMPUL</t>
  </si>
  <si>
    <t>Kp. Rawa Julang Ds. Mekarwangi Kec. Cik-Bar Kab. Bekasi</t>
  </si>
  <si>
    <t>MTs-22 100155498</t>
  </si>
  <si>
    <t>0075620652</t>
  </si>
  <si>
    <t>HAZAQ OSEAN RAFIF</t>
  </si>
  <si>
    <t>MAJALENGKA</t>
  </si>
  <si>
    <t>07 Februari 2007</t>
  </si>
  <si>
    <t>Hendrik</t>
  </si>
  <si>
    <t xml:space="preserve">Desa telajung RT 001 RW 010 No.225 Kec.Cikarang Barat, kab Bekasi </t>
  </si>
  <si>
    <t>MTs-22 1001154223</t>
  </si>
  <si>
    <t>0076215153</t>
  </si>
  <si>
    <t>AA DITIA FRATAMA</t>
  </si>
  <si>
    <t>28 Juni 2007</t>
  </si>
  <si>
    <t>DEDI</t>
  </si>
  <si>
    <t>Kp. Cikedokan RT 002/006 Ds. Cikedokan</t>
  </si>
  <si>
    <t>MTs-22 100155534</t>
  </si>
  <si>
    <t>0064677701</t>
  </si>
  <si>
    <t>ABDULLAH AHMAD FAUZAN</t>
  </si>
  <si>
    <t>BREBES</t>
  </si>
  <si>
    <t>26 Oktober 2006</t>
  </si>
  <si>
    <t>AHMAD SUJURLIAN</t>
  </si>
  <si>
    <t>MTs-22 100140455</t>
  </si>
  <si>
    <t>0076929544</t>
  </si>
  <si>
    <t>ANDIKA SAPUTRA</t>
  </si>
  <si>
    <t>NARTA</t>
  </si>
  <si>
    <t>Kp. Rawa Julang RT 004/002 Ds. Mekarwangi Kec. Cikarang Barat Kab. Bekasi</t>
  </si>
  <si>
    <t>MTs-22 100155205</t>
  </si>
  <si>
    <t>0061065498</t>
  </si>
  <si>
    <t>ARFHANSYAH PUTRA</t>
  </si>
  <si>
    <t>18 Juli 2006</t>
  </si>
  <si>
    <t>AMIN AHMADI</t>
  </si>
  <si>
    <t>Kp. Kamurang RT 001/003 Ds. Cikedokan Kec. Cikarang Barat Kab. Bekasi</t>
  </si>
  <si>
    <t>MTs-22 100155274</t>
  </si>
  <si>
    <t>0077550363</t>
  </si>
  <si>
    <t>CAESAR DANDI TRI PERKASA</t>
  </si>
  <si>
    <t>LAMANSYAH ERWIN</t>
  </si>
  <si>
    <t>Kp. Cibarengkok RT 04/02 No.88 Ds. Jatiwangi</t>
  </si>
  <si>
    <t>DN-02/D-SMP/K13/ 0087432</t>
  </si>
  <si>
    <t>0074682824</t>
  </si>
  <si>
    <t>DIMAS RIMUNANDAR</t>
  </si>
  <si>
    <t xml:space="preserve"> 13 April 2007</t>
  </si>
  <si>
    <t>KAJI NURFAIDZI</t>
  </si>
  <si>
    <t>Kp. Cisaat RT 014/006 Ds. Kertarahayu</t>
  </si>
  <si>
    <t>DN-02/D-SMP/K13/ 0108336</t>
  </si>
  <si>
    <t>0075646043</t>
  </si>
  <si>
    <t>DINAR RADITIYA PRATAMA</t>
  </si>
  <si>
    <t>20 Maret 2007</t>
  </si>
  <si>
    <t>EKA RADIANSYAH</t>
  </si>
  <si>
    <t>Kp. Cibuntu RT 001/007 Ds. Cibuntu Kec. Cibitung Kab. Bekasi</t>
  </si>
  <si>
    <t>MTs-22 100155156</t>
  </si>
  <si>
    <t>0076987847</t>
  </si>
  <si>
    <t>FAHMI SABILA SIDKI</t>
  </si>
  <si>
    <t>27 Maret 2007</t>
  </si>
  <si>
    <t>TUIN</t>
  </si>
  <si>
    <t>Kp. Rawa Julang RT 003/002 Ds. Ganda Mekar</t>
  </si>
  <si>
    <t>DN-02/D-SMP/K13/ 0346153</t>
  </si>
  <si>
    <t>0076325232</t>
  </si>
  <si>
    <t>FENDI LATIF HENANTA</t>
  </si>
  <si>
    <t>BANTUL</t>
  </si>
  <si>
    <t>29 Juli 2007</t>
  </si>
  <si>
    <t>AJI YULIANTO</t>
  </si>
  <si>
    <t>Manggung Sumber Agung Jetis, Bantul</t>
  </si>
  <si>
    <t>DN-04/D-SMP/K13/ 0003776</t>
  </si>
  <si>
    <t>0072890752</t>
  </si>
  <si>
    <t>FERDI LATIF HENANTA</t>
  </si>
  <si>
    <t>DN-04/D-SMP/K13/ 0003777</t>
  </si>
  <si>
    <t>0065370722</t>
  </si>
  <si>
    <t>IPANG SAPUTRA</t>
  </si>
  <si>
    <t>21 Desember 2006</t>
  </si>
  <si>
    <t>WAWAN WIJAYA</t>
  </si>
  <si>
    <t>Kp. Rawa Julang RT 002/002 Ds. Mekarwangi J. Makam Gede</t>
  </si>
  <si>
    <t>MTs-22 100155378</t>
  </si>
  <si>
    <t>0076850408</t>
  </si>
  <si>
    <t>M IQBAL HENDRAWAN</t>
  </si>
  <si>
    <t>14 Mei 2007</t>
  </si>
  <si>
    <t>HENDRA NURDIANSYAH</t>
  </si>
  <si>
    <t>Kp. Cikedokan RT 003/006 Ds. Cikedokan kec. Cikarang Barat Kab. Bekasi</t>
  </si>
  <si>
    <t>DN-02/D-SMP/K13/ 0106948</t>
  </si>
  <si>
    <t>0069805365</t>
  </si>
  <si>
    <t>MAHESA APRIATNA</t>
  </si>
  <si>
    <t>KARAWANG</t>
  </si>
  <si>
    <t>9 Maret 2006</t>
  </si>
  <si>
    <t>NANO SUTIONO</t>
  </si>
  <si>
    <t>Kp. Jarakosta RT/RT 002/001 Ds. Danau Indah</t>
  </si>
  <si>
    <t>DN-02/D-SMP/K13/ 0087550</t>
  </si>
  <si>
    <t>0061289805</t>
  </si>
  <si>
    <t>MOHAMMAD SYAHRUR ROMDHONI</t>
  </si>
  <si>
    <t>KOTA BEKASI</t>
  </si>
  <si>
    <t xml:space="preserve"> 26 September 2006</t>
  </si>
  <si>
    <t>ABDUN NAFI</t>
  </si>
  <si>
    <t>MTs-22 100155458</t>
  </si>
  <si>
    <t>0064789350</t>
  </si>
  <si>
    <t>MUHAMAD HARISKY</t>
  </si>
  <si>
    <t>WAHIDIN</t>
  </si>
  <si>
    <t>Kp. Jarakosta RT 006/004 Ds. Sukadanau Kec. Cikarang Barat Kab. Bekasi</t>
  </si>
  <si>
    <t>DN-02/D-SMP/K13/ 0087613</t>
  </si>
  <si>
    <t>0062164345</t>
  </si>
  <si>
    <t>MUHAMAD ILLHAM ALLHUSNI</t>
  </si>
  <si>
    <t>27 Oktober 2006</t>
  </si>
  <si>
    <t>SARDI</t>
  </si>
  <si>
    <t>Kp. Lubang Buaya RT 002/008 Ds. Lubang Buaya Kec. Setu Kab. Bekasi</t>
  </si>
  <si>
    <t>MTs-22 100154074</t>
  </si>
  <si>
    <t>0078523307</t>
  </si>
  <si>
    <t>MUHAMAD RIZKI ZAELANI</t>
  </si>
  <si>
    <t>16 Juli 2007</t>
  </si>
  <si>
    <t>SUHARA</t>
  </si>
  <si>
    <t>Kp. Cikedokan RT 001/005 Ds. Sukadanau, Cikarang Barat</t>
  </si>
  <si>
    <t>DN-02/D-SMP/K13/ 0086947</t>
  </si>
  <si>
    <t>0075254799</t>
  </si>
  <si>
    <t>MUHAMMAD FAREL RAMDANI</t>
  </si>
  <si>
    <t>22 September 2007</t>
  </si>
  <si>
    <t>AGUS MULYADI</t>
  </si>
  <si>
    <t>Kp. Rawa Banteng RT 002/002 Ds. Mekarwangi</t>
  </si>
  <si>
    <t>MTs-22 100154319</t>
  </si>
  <si>
    <t>0071919948</t>
  </si>
  <si>
    <t>MUHAMMAD PANJI AZ-ZIRA</t>
  </si>
  <si>
    <t>29 Juni 2007</t>
  </si>
  <si>
    <t>UKAR</t>
  </si>
  <si>
    <t>Kp. Cibarengkok RT 001/002 Ds. Jatiwangi Kec. Cikarang Barat Kab. Bekasi</t>
  </si>
  <si>
    <t>MTs-22 100155389</t>
  </si>
  <si>
    <t>0067237318</t>
  </si>
  <si>
    <t>RANGGA TRI AFRIZAL</t>
  </si>
  <si>
    <t>22 Desember 2006</t>
  </si>
  <si>
    <t>SUHANDI</t>
  </si>
  <si>
    <t>Kp. Cikedokan RT 001/001 Ds. Cibening Kec. Setu</t>
  </si>
  <si>
    <t>DN-02/D-SMP/K13/ 0087592</t>
  </si>
  <si>
    <t>0074078433</t>
  </si>
  <si>
    <t>REYHANUDIEN  JUNOS</t>
  </si>
  <si>
    <t>15 juni 2007</t>
  </si>
  <si>
    <t>EDI SURYANA</t>
  </si>
  <si>
    <t>Kp. Cikedokan RT 003/006 Ds. Cibening Kec. Setu</t>
  </si>
  <si>
    <t>DN-02/D-SMP/K13/ 0106932</t>
  </si>
  <si>
    <t>0076721700</t>
  </si>
  <si>
    <t>RIZKY DWI FIRANSYAH</t>
  </si>
  <si>
    <t>9 Mei 2007</t>
  </si>
  <si>
    <t>YADI SURYADI</t>
  </si>
  <si>
    <t>Kp. Cibarengkok Ds. Jatiwangi RT 002/002 Kec. Cikarang Barat Kab. Bekasi</t>
  </si>
  <si>
    <t>DN-02/D-SMP/K13/ 0087594</t>
  </si>
  <si>
    <t>0061614231</t>
  </si>
  <si>
    <t>SAEPULLOH</t>
  </si>
  <si>
    <t xml:space="preserve"> 20 Desember 2006</t>
  </si>
  <si>
    <t>IHAD</t>
  </si>
  <si>
    <t>Ds. Jatiwangi RT 002/003 Kp. Cibarengkok Wetan</t>
  </si>
  <si>
    <t>DN-02/D-SMP/K13/ 0087627</t>
  </si>
  <si>
    <t>0062657633</t>
  </si>
  <si>
    <t>SARWAN JAYA</t>
  </si>
  <si>
    <t>25 November 2006</t>
  </si>
  <si>
    <t>UNAN</t>
  </si>
  <si>
    <t>DN-02/D-SMP/K13/ 0087526</t>
  </si>
  <si>
    <t>0066220245</t>
  </si>
  <si>
    <t>YUSUF FIRDAUS</t>
  </si>
  <si>
    <t>11 Oktober 2006</t>
  </si>
  <si>
    <t xml:space="preserve">YUDI BIN H SIDIK </t>
  </si>
  <si>
    <t>DN-02/D-SMP/K13/ 0087461</t>
  </si>
  <si>
    <t>0069773854</t>
  </si>
  <si>
    <t>ADHITYA PRATAMA</t>
  </si>
  <si>
    <t>27 Juni 2006</t>
  </si>
  <si>
    <t>TUGIYO</t>
  </si>
  <si>
    <t>DN-02/D-SMP/K13/ 0087567</t>
  </si>
  <si>
    <t>0066401952</t>
  </si>
  <si>
    <t>AHMAD ROZIKIN</t>
  </si>
  <si>
    <t>13 Agustus 2006</t>
  </si>
  <si>
    <t>DIWANTO</t>
  </si>
  <si>
    <t>Kp. Cimunding RT 015/004 Ds. Cimunding Kec. Banjarharjo Kab. Brebes, Jawa Tengah</t>
  </si>
  <si>
    <t>DN-03/D-SMP/K13/ 0068122</t>
  </si>
  <si>
    <t>0072498885</t>
  </si>
  <si>
    <t>AKBAR</t>
  </si>
  <si>
    <t>PURBALINGGA</t>
  </si>
  <si>
    <t>16 Maret 2007</t>
  </si>
  <si>
    <t>SUKIMAN</t>
  </si>
  <si>
    <t>Kp. Rawajulang RT 001/001 Ds. Ganda mekar Kec Cikarang Barat kab, Bekasi</t>
  </si>
  <si>
    <t>DN-02/D-SMP/K13/ 0087465</t>
  </si>
  <si>
    <t>0076027666</t>
  </si>
  <si>
    <t>AMMAR ABDULLAH</t>
  </si>
  <si>
    <t>02 Juni 2007</t>
  </si>
  <si>
    <t>DASIM</t>
  </si>
  <si>
    <t>Perum Graha Mustika Media Blok B1 N0. 6 RT 01/09, Setu Kec. Setu Kab. Bekasi</t>
  </si>
  <si>
    <t>DN/PB/ 0079119</t>
  </si>
  <si>
    <t>0073486388</t>
  </si>
  <si>
    <t>ANANDA S DEWA</t>
  </si>
  <si>
    <t>28 Februari 2007</t>
  </si>
  <si>
    <t>NATA SUNANDAR</t>
  </si>
  <si>
    <t>Kp. Jarakosta RT 004/002 Ds. Sukadanau Kec. Cikarang Barat Kab.Bekasi</t>
  </si>
  <si>
    <t>DN-02/D-SMP/K13/ 0087602</t>
  </si>
  <si>
    <t>0079924122</t>
  </si>
  <si>
    <t>ARDIAN PUTRA PRATAMA</t>
  </si>
  <si>
    <t>03 April 2007</t>
  </si>
  <si>
    <t>MADIYONO</t>
  </si>
  <si>
    <t>Kp. Rawa Julang RT 002/003 Kec. Cikarang Barat Kab. Bekasi</t>
  </si>
  <si>
    <t>MTs-22 100156159</t>
  </si>
  <si>
    <t>0075084595</t>
  </si>
  <si>
    <t>ARI SETIAWAN</t>
  </si>
  <si>
    <t>22 Januari 2007</t>
  </si>
  <si>
    <t>ENDANG S TORINA</t>
  </si>
  <si>
    <t>Kp. Jarakosta RT 002/001 Ds. Danau Indah Kec. Cikarang Barat Kab. Bekasi</t>
  </si>
  <si>
    <t>DN-02/D-SMP/K13/ 0087603</t>
  </si>
  <si>
    <t>0062946213</t>
  </si>
  <si>
    <t>BAGAS PRATAMA PUTRA</t>
  </si>
  <si>
    <t>27 November 2006</t>
  </si>
  <si>
    <t>MISNA</t>
  </si>
  <si>
    <t>Kp. Jarakosta Kebon Kelapa RT 006/004 Ds. Sukadanau Kec. Cikaranag Barat Kab. Bekasi</t>
  </si>
  <si>
    <t>DN-02/D-SMP/K13/ 0087574</t>
  </si>
  <si>
    <t>0082368428</t>
  </si>
  <si>
    <t>DEKA RAMADHANI</t>
  </si>
  <si>
    <t>29 Januari 2008</t>
  </si>
  <si>
    <t>DEDE SUPENA</t>
  </si>
  <si>
    <t>Kp. Kamurang RT 001/001 Ds. Cikedokan Kec. Cikarang Barat Kab. Bekasi</t>
  </si>
  <si>
    <t>MTs-22 100155211</t>
  </si>
  <si>
    <t>0073890825</t>
  </si>
  <si>
    <t>DWIYAN PEBRIYANSYAH</t>
  </si>
  <si>
    <t>22 Februari 2007</t>
  </si>
  <si>
    <t>WANTA</t>
  </si>
  <si>
    <t>Kp. Babakan RT 003/001 Ds. Jatiwangi Kec. Cikarang Barat Kab. Bekasi</t>
  </si>
  <si>
    <t>MTs-22 100155354</t>
  </si>
  <si>
    <t>0053822774</t>
  </si>
  <si>
    <t>FALAH AZMI IBRAHIM</t>
  </si>
  <si>
    <t>10 Nopember 2005</t>
  </si>
  <si>
    <t>HIDAYAT</t>
  </si>
  <si>
    <t>Perum Graha Mustika Media Blok B1 N0. 3 RT 01/09, Setu Kec. Setu Kab. Bekasi</t>
  </si>
  <si>
    <t>DN/PB/ 0030575</t>
  </si>
  <si>
    <t>007467363</t>
  </si>
  <si>
    <t>FARHAN FIRMANSYAH</t>
  </si>
  <si>
    <t>SIMAN</t>
  </si>
  <si>
    <t>Kp. Rawa Banteng RT 001/002 Ds. Mekarwangi Kec. Cikarang Barat Kab. Bekasi</t>
  </si>
  <si>
    <t>MTs-22 100155376</t>
  </si>
  <si>
    <t>0076487037</t>
  </si>
  <si>
    <t>IFNU MAULANA</t>
  </si>
  <si>
    <t>MAGETAN</t>
  </si>
  <si>
    <t>7 Oktober 2007</t>
  </si>
  <si>
    <t>GIYAT</t>
  </si>
  <si>
    <t>Kp. Tamanarum RT RT 001/002 Ds. Tamanarum Kec. Parang kab. Magetan</t>
  </si>
  <si>
    <t>DN-02/D-SMP/K13/ 0087505</t>
  </si>
  <si>
    <t>0072650086</t>
  </si>
  <si>
    <t>IRWAN SAPUTRA</t>
  </si>
  <si>
    <t>18 April 2007</t>
  </si>
  <si>
    <t>EDI</t>
  </si>
  <si>
    <t>Kp. Jarakosta RT 001/003 Ds. Danau Indah Kec. Cikarang Barat Kab. Bekasi</t>
  </si>
  <si>
    <t>DN-02/D-SMP/K13/ 0087439</t>
  </si>
  <si>
    <t>0073077836</t>
  </si>
  <si>
    <t>KARDI MAULANA</t>
  </si>
  <si>
    <t>22 Mei 2007</t>
  </si>
  <si>
    <t>EDI JUNAEDI</t>
  </si>
  <si>
    <t>Kp. Babakan RT 002/001 Ds. Jatiwangi Kec. Cikarang Barat Kab. Bekasi</t>
  </si>
  <si>
    <t>MTs-22 100155639</t>
  </si>
  <si>
    <t>0072160321</t>
  </si>
  <si>
    <t>LUTHFI PURNAMA</t>
  </si>
  <si>
    <t>5 Januari 2007</t>
  </si>
  <si>
    <t>SAKRIH</t>
  </si>
  <si>
    <t>Kp. Rawa Banteng RT 004/001 Ds. Mekarwangi Kec. Cikarang Barat Kab.Bekasi</t>
  </si>
  <si>
    <t>MTs-22 100155312</t>
  </si>
  <si>
    <t>0074411269</t>
  </si>
  <si>
    <t>MUHAMAD AGUNG LAKSANA</t>
  </si>
  <si>
    <t>9 Agustus 2007</t>
  </si>
  <si>
    <t>MINAL SYAHRONI</t>
  </si>
  <si>
    <t>Kp. Babakan RT 001/001 Ds. Jatiwangi Kec. Cikarang Barat Kab. Bekasi</t>
  </si>
  <si>
    <t>DN-02/D-SMP/K13/ 0087983</t>
  </si>
  <si>
    <t>0071000045</t>
  </si>
  <si>
    <t>M. GILANG PRAYOGI</t>
  </si>
  <si>
    <t>16 Juni 2007</t>
  </si>
  <si>
    <t>KARSUM</t>
  </si>
  <si>
    <t>Kp. Jarakosta Ds. Danau Indah RT 002/003 Kec. Cikarang Barat Kab. Bekasi</t>
  </si>
  <si>
    <t>DN-02/D-SMP/K13/ 0087589</t>
  </si>
  <si>
    <t>0061028869</t>
  </si>
  <si>
    <t>MUHAMMAD YUSUF MAULANA</t>
  </si>
  <si>
    <t>04 November 2006</t>
  </si>
  <si>
    <t>OSAN</t>
  </si>
  <si>
    <t>Kp. Telajung RT 001/010 Ds. Telajung Kec. Cikarang Barat Kab. Bekasi</t>
  </si>
  <si>
    <t>MTs-22 100155315</t>
  </si>
  <si>
    <t>0066062643</t>
  </si>
  <si>
    <t>RIFKI ARDIANSYAH</t>
  </si>
  <si>
    <t>TASIKMALAYA</t>
  </si>
  <si>
    <t>1 Maret 2006</t>
  </si>
  <si>
    <t>A. DEDY SETIADI</t>
  </si>
  <si>
    <t>Jl. Bambu Kuning Kp. Tegal Tangsi Baru RT 001/002 Ds. Danau Indah Kec. Cikarang Barat Kab. Bekasi</t>
  </si>
  <si>
    <t>DN-02/D-SMP/K13/ 0465349</t>
  </si>
  <si>
    <t>0067092691</t>
  </si>
  <si>
    <t>SAIPUL BAHRI</t>
  </si>
  <si>
    <t>18 Januari 2006</t>
  </si>
  <si>
    <t>ITAN BASUKI</t>
  </si>
  <si>
    <t>Kp. Cibarengkok RT 003/002 Ds. Jatiwangi Kec. Cikarang Barat Kab. Bekasi</t>
  </si>
  <si>
    <t>MTs-13 110107145</t>
  </si>
  <si>
    <t>0068846668</t>
  </si>
  <si>
    <t>SAPRUDIN SANJAYA</t>
  </si>
  <si>
    <t>10 Oktober 2006</t>
  </si>
  <si>
    <t>GANDIL</t>
  </si>
  <si>
    <t>DN-02/D-SMP/K13/0087628</t>
  </si>
  <si>
    <t>0074692256</t>
  </si>
  <si>
    <t>WARNO DINATA</t>
  </si>
  <si>
    <t>25 April 2007</t>
  </si>
  <si>
    <t>RUDI</t>
  </si>
  <si>
    <t>MTs-22 100155302</t>
  </si>
  <si>
    <t>0079989890</t>
  </si>
  <si>
    <t xml:space="preserve">YUSUF  </t>
  </si>
  <si>
    <t>SAROH SARTIKA</t>
  </si>
  <si>
    <t>Kp. Cikedokan RT 002/001 Ds. Sukadanau Kec. Cikarang Barat Kab. Bekasi</t>
  </si>
  <si>
    <t>DN-02/D-SMP/K13/  0087496</t>
  </si>
  <si>
    <t>TEKNIK ELEKTRONIKA INDUSTRI</t>
  </si>
  <si>
    <t>3070905598</t>
  </si>
  <si>
    <t>AMANDA DWI LESTARI</t>
  </si>
  <si>
    <t>P</t>
  </si>
  <si>
    <t>Bekasi</t>
  </si>
  <si>
    <t xml:space="preserve"> 19 Oktober 2007</t>
  </si>
  <si>
    <t>INDA HERMAWAN</t>
  </si>
  <si>
    <t>Kp. Cibarengkok Ds. Jatiwangi RT 004/002 Kec. Cikarang Barat Kab. Bekasi</t>
  </si>
  <si>
    <t>DN-02/D-SMP/K13/0087570</t>
  </si>
  <si>
    <t>0074408442</t>
  </si>
  <si>
    <t>ANA AZIZAH</t>
  </si>
  <si>
    <t>12 Desember 2007</t>
  </si>
  <si>
    <t>SAANIN</t>
  </si>
  <si>
    <t>Kp. Cibarengkok RT 001/003 Ds. Jatiwangi</t>
  </si>
  <si>
    <t>DN-02/D-SMP/K13/0087601</t>
  </si>
  <si>
    <t>0079089656</t>
  </si>
  <si>
    <t>BANU BUKHORI</t>
  </si>
  <si>
    <t>5 Februari 2007</t>
  </si>
  <si>
    <t>MARYONO</t>
  </si>
  <si>
    <t>Kp. Cibuntu RT 003/001 Ds. Cibuntu</t>
  </si>
  <si>
    <t>DN-02/D-SMP/K13/0076927</t>
  </si>
  <si>
    <t>0065044881</t>
  </si>
  <si>
    <t>DAMA AJI</t>
  </si>
  <si>
    <t>Jakarta</t>
  </si>
  <si>
    <t>SURAHMAN</t>
  </si>
  <si>
    <t>DS. Cikarageman Kec. Setu RT 002/006 No. 68 Kab. Bekasi</t>
  </si>
  <si>
    <t>MTs-22100155996</t>
  </si>
  <si>
    <t>0074594754</t>
  </si>
  <si>
    <t>DAVINA KEISYAH PUTRI</t>
  </si>
  <si>
    <t>DEDY MULYADI</t>
  </si>
  <si>
    <t>Kp. Telajung RT 001/010 Ds. Telajung</t>
  </si>
  <si>
    <t>MTs-22100154154</t>
  </si>
  <si>
    <t>0071365415</t>
  </si>
  <si>
    <t>DINA SUBARKAH</t>
  </si>
  <si>
    <t>4 Maret 2007</t>
  </si>
  <si>
    <t>EDI SUBARKAH</t>
  </si>
  <si>
    <t>DN-02/D-SMP/K13/0087434</t>
  </si>
  <si>
    <t>0061047101</t>
  </si>
  <si>
    <t>ERWIN MAULANA</t>
  </si>
  <si>
    <t>12 Mei 2006</t>
  </si>
  <si>
    <t>MAMAN FIRMANSYAH</t>
  </si>
  <si>
    <t>Kp. Mariuk RT 001/006 Ds. Ganda Sari</t>
  </si>
  <si>
    <t>DN-02/D-SMP/K13/0076962</t>
  </si>
  <si>
    <t>0061823698</t>
  </si>
  <si>
    <t>GITA AMELIA</t>
  </si>
  <si>
    <t xml:space="preserve"> 11 Mei 2006</t>
  </si>
  <si>
    <t>Kp. Kamurang RT 001/005 Ds. Cikedokan</t>
  </si>
  <si>
    <t>DN-02/D-SMP/K13/0087400</t>
  </si>
  <si>
    <t>3066812278</t>
  </si>
  <si>
    <t>IMAS RAHAYU</t>
  </si>
  <si>
    <t>28 Desember 2006</t>
  </si>
  <si>
    <t>MISKA</t>
  </si>
  <si>
    <t>MTs-22100155568</t>
  </si>
  <si>
    <t>0073712406</t>
  </si>
  <si>
    <t>KAILA ZAHRA</t>
  </si>
  <si>
    <t>13 Januari 2007</t>
  </si>
  <si>
    <t>RAHMAT TULOH HIDAYAT</t>
  </si>
  <si>
    <t>Kp. Tegal Tangsi RT 001/002 Ds. Danau Indah Kec. Cikarang Barat</t>
  </si>
  <si>
    <t>MTs-22100156715</t>
  </si>
  <si>
    <t>0073407455</t>
  </si>
  <si>
    <t>KHEYSA VIDA ANGGRAINI</t>
  </si>
  <si>
    <t>Sukoharjo</t>
  </si>
  <si>
    <t xml:space="preserve"> 8 Maret 2007</t>
  </si>
  <si>
    <t>FAJAR AMIR FAHMI</t>
  </si>
  <si>
    <t>Kp. Cibarengkok RT 002/002 Ds. Jatiwangi Kec. Cikarang Barat Kab. Bekasi</t>
  </si>
  <si>
    <t>DN-02/D-SMP/K13/0087547</t>
  </si>
  <si>
    <t>0058876158</t>
  </si>
  <si>
    <t>LEO STEPEN</t>
  </si>
  <si>
    <t xml:space="preserve"> 26 Desember 2005</t>
  </si>
  <si>
    <t>NURMIN</t>
  </si>
  <si>
    <t>Kp. Rawa Banteng RT 002/002 Ds. Mekarwangi Kec. Cikarang Barat Kab.Bekasi</t>
  </si>
  <si>
    <t>MTs-22100155279</t>
  </si>
  <si>
    <t>0079452159</t>
  </si>
  <si>
    <t>M. FACHRI RIZKI MAULANA</t>
  </si>
  <si>
    <t xml:space="preserve"> 27 Agustus 2007</t>
  </si>
  <si>
    <t>MAKMUN</t>
  </si>
  <si>
    <t>Kp. Telajung RT 001/006 Ds. Telajung Kec. Cikarang Barat</t>
  </si>
  <si>
    <t>MTs-22100154071</t>
  </si>
  <si>
    <t>0071002555</t>
  </si>
  <si>
    <t>MELI ANJANI</t>
  </si>
  <si>
    <t>3 Juni 2007</t>
  </si>
  <si>
    <t>OMA</t>
  </si>
  <si>
    <t>DN-02/D-SMP/K13/0087511</t>
  </si>
  <si>
    <t>0067648631</t>
  </si>
  <si>
    <t>MILDA APRILIANNI</t>
  </si>
  <si>
    <t>Sukabumi</t>
  </si>
  <si>
    <t xml:space="preserve"> 18 April 2006</t>
  </si>
  <si>
    <t>DADANG SUHENDI</t>
  </si>
  <si>
    <t>Villa Mutiara Cikarang 2 Blok C6 No. 18 RT 022/007 Ds. Suka sejati Kec. Cikarang Selatan Kab. Bekasi</t>
  </si>
  <si>
    <t>DN-02/D-SMP/K13/0105922</t>
  </si>
  <si>
    <t>0077749659</t>
  </si>
  <si>
    <t>MUHAMAD RISQI FAJRI</t>
  </si>
  <si>
    <t>SUPARNO</t>
  </si>
  <si>
    <t>MTs-22100154232</t>
  </si>
  <si>
    <t>0071561555</t>
  </si>
  <si>
    <t>MUHAMMAD KHOLIFI ILHAM</t>
  </si>
  <si>
    <t xml:space="preserve"> 6 Maret 2007</t>
  </si>
  <si>
    <t>NIAN</t>
  </si>
  <si>
    <t>DN-02/D-SMP/K13/0087590</t>
  </si>
  <si>
    <t>0087401174</t>
  </si>
  <si>
    <t>NITA NATALIA</t>
  </si>
  <si>
    <t>16 Agustus 2008</t>
  </si>
  <si>
    <t>YATI OKTAVIANI</t>
  </si>
  <si>
    <t>DN-02/D-SMP/K13/0087591</t>
  </si>
  <si>
    <t>0072009593</t>
  </si>
  <si>
    <t>OKTAVIONA SAFITRI</t>
  </si>
  <si>
    <t xml:space="preserve"> Bekasi</t>
  </si>
  <si>
    <t xml:space="preserve"> 12 Oktober 2007</t>
  </si>
  <si>
    <t>NAMUN NURYANA</t>
  </si>
  <si>
    <t>Kp Mariuk RT002/RW002, Ds Gandamekar Kec. Cikarang Barat</t>
  </si>
  <si>
    <t>MTs-22100156730</t>
  </si>
  <si>
    <t>0071571646</t>
  </si>
  <si>
    <t>RAHAYU OKTAFIANI</t>
  </si>
  <si>
    <t>4 Oktober 2007</t>
  </si>
  <si>
    <t>ADON</t>
  </si>
  <si>
    <t>MTs-22100155326</t>
  </si>
  <si>
    <t>0071682395</t>
  </si>
  <si>
    <t>RAHMAWATI DEWI</t>
  </si>
  <si>
    <t xml:space="preserve"> 4 Juli 2007</t>
  </si>
  <si>
    <t>ROHMAT</t>
  </si>
  <si>
    <t>DN-02/D-SMP/K13/0087452</t>
  </si>
  <si>
    <t>0077401437</t>
  </si>
  <si>
    <t>RISA MELINDA</t>
  </si>
  <si>
    <t>24 Mei 2007</t>
  </si>
  <si>
    <t>SAKUM</t>
  </si>
  <si>
    <t>DN-02/D-SMP/K13/0110545</t>
  </si>
  <si>
    <t>0064822724</t>
  </si>
  <si>
    <t>RISKA AULIA ANASTASYA</t>
  </si>
  <si>
    <t xml:space="preserve"> 14 November 2006</t>
  </si>
  <si>
    <t>AYAH</t>
  </si>
  <si>
    <t>Kp. Cibarengkok RT 004/002 Ds, Jatiwangi Kec. Cikarang Barat Kab. Bekasi</t>
  </si>
  <si>
    <t>DN-02/D-SMP/K13/0292674</t>
  </si>
  <si>
    <t>0078593346</t>
  </si>
  <si>
    <t>RISMA JULIYANTI</t>
  </si>
  <si>
    <t>24 Juli 2007</t>
  </si>
  <si>
    <t>ENDI</t>
  </si>
  <si>
    <t xml:space="preserve">Kp. Jarakosta RT 005/003 Ds. Sukadanau </t>
  </si>
  <si>
    <t>DN-02/D-SMP/K13/0087625</t>
  </si>
  <si>
    <t>0078558399</t>
  </si>
  <si>
    <t>SIGIT ARDI NUGROHO</t>
  </si>
  <si>
    <t>PUAD</t>
  </si>
  <si>
    <t>Kp.Jarakosta RT 004/002 Ds. Sukadanau Kec. Cikarang Barat Kab. Bekasi</t>
  </si>
  <si>
    <t>DN-02/D-SMP/K13/0087629</t>
  </si>
  <si>
    <t>00724077907</t>
  </si>
  <si>
    <t>SITI JUMALA SARI</t>
  </si>
  <si>
    <t>Brebes</t>
  </si>
  <si>
    <t>27 Agustus 2007</t>
  </si>
  <si>
    <t>RUSNALI</t>
  </si>
  <si>
    <t>Kp. Cibarengkok RT 003/002 Ds. Jatiwangi</t>
  </si>
  <si>
    <t>DN-02/D-SMP/K13/0106610</t>
  </si>
  <si>
    <t>0073412174</t>
  </si>
  <si>
    <t>SITI NURPADILAH</t>
  </si>
  <si>
    <t xml:space="preserve"> 12 September 2007</t>
  </si>
  <si>
    <t>ENDI KUSNADI</t>
  </si>
  <si>
    <t>DN-02/D-SMP/K13/0087597</t>
  </si>
  <si>
    <t>0079544913</t>
  </si>
  <si>
    <t>SRI MUTIARA</t>
  </si>
  <si>
    <t>6 Februari 2007</t>
  </si>
  <si>
    <t>SAEPUL BAHRI</t>
  </si>
  <si>
    <t>Kp. Kamurang RT 001/004 Ds. Cikedokan</t>
  </si>
  <si>
    <t>DN-02/D-SMP/K13/00875329</t>
  </si>
  <si>
    <t>0078011149</t>
  </si>
  <si>
    <t>SYAHRUL GUNAWAN</t>
  </si>
  <si>
    <t>KAMAN</t>
  </si>
  <si>
    <t>Kp. Jarakosta RT 005/003 Ds. Suka Danau</t>
  </si>
  <si>
    <t>DN-02/D-SMP/K13/0087530</t>
  </si>
  <si>
    <t>0067521435</t>
  </si>
  <si>
    <t>WIJAYANTO FUJI GUMELAR</t>
  </si>
  <si>
    <t>24 Maret 2006</t>
  </si>
  <si>
    <t>RIANTO</t>
  </si>
  <si>
    <t>Kp. Bukarngkeng RT 001/006 Ds. Burangkeng Kec. Setu Kab. Bekasi</t>
  </si>
  <si>
    <t>MTs-22100154146</t>
  </si>
  <si>
    <t>0071766661</t>
  </si>
  <si>
    <t>YULIANDA ASSYIFA NAZWA</t>
  </si>
  <si>
    <t xml:space="preserve"> 9 Agustus 2007</t>
  </si>
  <si>
    <t>YANTO ALIANA</t>
  </si>
  <si>
    <t>DN-02/D-SMP/K13/0108363</t>
  </si>
  <si>
    <t>0066035802</t>
  </si>
  <si>
    <t>DWI ARIFANI ADZANA</t>
  </si>
  <si>
    <t>19 Mei 2006</t>
  </si>
  <si>
    <t>ARMAN</t>
  </si>
  <si>
    <t>Kp. Cibitung Kaum 007/013 Ds. Sukadanau Kec. Cikarang Barat Kab. Bekasi</t>
  </si>
  <si>
    <t>DN-02/D-SMP/K13/0343438</t>
  </si>
  <si>
    <t>0064926120</t>
  </si>
  <si>
    <t>ABI MAULANA CHANDRA</t>
  </si>
  <si>
    <t>20 November 2006</t>
  </si>
  <si>
    <t>CHANDRA</t>
  </si>
  <si>
    <t>Kp. Lubangbuaya RT 003/002 Ds. Lubangbuaya Kec. Setu Kab. Bekasi</t>
  </si>
  <si>
    <t>MTs-22100154086</t>
  </si>
  <si>
    <t>0061201721</t>
  </si>
  <si>
    <t>ADITYA AL MUJAKI</t>
  </si>
  <si>
    <t>11 November 2006</t>
  </si>
  <si>
    <t xml:space="preserve">SAMAN HERMAWAN </t>
  </si>
  <si>
    <t>Kp. Cisaat RT 001/003 Ds. Kertarahayu Kec. Setu Kab. Bekasi</t>
  </si>
  <si>
    <t>DN-02/D-SMP/K13/0083810</t>
  </si>
  <si>
    <t>0073563861</t>
  </si>
  <si>
    <t>AMELIA</t>
  </si>
  <si>
    <t>1 Juli 2007</t>
  </si>
  <si>
    <t xml:space="preserve">NIAN </t>
  </si>
  <si>
    <t>DN-02/D-SMP/K13/0087534</t>
  </si>
  <si>
    <t>0072459941</t>
  </si>
  <si>
    <t>AQILA QEISHA RAHMADANI</t>
  </si>
  <si>
    <t>29 September 2007</t>
  </si>
  <si>
    <t>AHMAD BAEHAQI</t>
  </si>
  <si>
    <t>MTs-22100155273</t>
  </si>
  <si>
    <t>0064002542</t>
  </si>
  <si>
    <t>AYU PUTRI NEGARI</t>
  </si>
  <si>
    <t xml:space="preserve"> 18 September 2008</t>
  </si>
  <si>
    <t xml:space="preserve">MARZUKIH </t>
  </si>
  <si>
    <t>Kp. Jarakosta RT 003/001 Ds. Danau Indah Kec. Cikarang Barat Kab. Bekasi</t>
  </si>
  <si>
    <t>DN-02/D-SMP/K13/0087604</t>
  </si>
  <si>
    <t>0073240741</t>
  </si>
  <si>
    <t>DAFA ADITYA PUTRA</t>
  </si>
  <si>
    <t xml:space="preserve"> 31 Oktober 2007</t>
  </si>
  <si>
    <t>NAMUN</t>
  </si>
  <si>
    <t>Kp. Cigebang RT 003/002 Ds. Cibening Kec. Setu Kab. Bekasi</t>
  </si>
  <si>
    <t>DN-02/D-SMP/K13/0108300</t>
  </si>
  <si>
    <t>0074172506</t>
  </si>
  <si>
    <t>ECY LAURA CITRA</t>
  </si>
  <si>
    <t>Subang</t>
  </si>
  <si>
    <t>BUSTAMI CHANIAGO</t>
  </si>
  <si>
    <t>Kp. Jarakosta RT 002/001 Ds. Danau Indah Ke. Cikarang Barat</t>
  </si>
  <si>
    <t>DN-02/D-SMP/K13/0087503</t>
  </si>
  <si>
    <t>0078208166</t>
  </si>
  <si>
    <t xml:space="preserve">FEBRY LIDIYANA MULYA PUTRI SURYANA </t>
  </si>
  <si>
    <t xml:space="preserve"> 6 Februari 2007</t>
  </si>
  <si>
    <t>UJANG YANA SURYANA</t>
  </si>
  <si>
    <t xml:space="preserve">Kp. Rawa Atug RT 03/06 Ds. Cibening Kec. Setu </t>
  </si>
  <si>
    <t>MTs-22 100099443</t>
  </si>
  <si>
    <t>0076209344</t>
  </si>
  <si>
    <t>FINITA MEYDINAYATI</t>
  </si>
  <si>
    <t>DIDIN</t>
  </si>
  <si>
    <t>MTs-22100156794</t>
  </si>
  <si>
    <t>0073458110</t>
  </si>
  <si>
    <t>HERMAWAN</t>
  </si>
  <si>
    <t>12 Agustus 2007</t>
  </si>
  <si>
    <t>HERMANTO</t>
  </si>
  <si>
    <t>DN-02/D-SMP/K13/0087606</t>
  </si>
  <si>
    <t>0075502511</t>
  </si>
  <si>
    <t>HIJIYAH BULAN DARI</t>
  </si>
  <si>
    <t>1 Januari 2007</t>
  </si>
  <si>
    <t>HENDRA PERMANA</t>
  </si>
  <si>
    <t>Kp. Rawa Julang RT 005/005 Ds. Gandamekar Kec. Cikarang Barat Kab. Bekasi</t>
  </si>
  <si>
    <t>MTs-22100156178</t>
  </si>
  <si>
    <t>0064458927</t>
  </si>
  <si>
    <t>IRFA MUBAROK</t>
  </si>
  <si>
    <t xml:space="preserve"> 31 Mei 2006</t>
  </si>
  <si>
    <t>MASKON BIN ZAZULI</t>
  </si>
  <si>
    <t>DN-02/D-SMP/K13/0087438</t>
  </si>
  <si>
    <t>0065646956</t>
  </si>
  <si>
    <t>IRMA ELITANA</t>
  </si>
  <si>
    <t>6 Juni 2005</t>
  </si>
  <si>
    <t>DAHLAN BIN ENDING</t>
  </si>
  <si>
    <t>DN-02/D-SMP/K13/0087608</t>
  </si>
  <si>
    <t>0061468832</t>
  </si>
  <si>
    <t>LUFI RAMADHANI</t>
  </si>
  <si>
    <t>18 Oktober 2006</t>
  </si>
  <si>
    <t>ABDUL KARIM</t>
  </si>
  <si>
    <t>Kp. Jarakosta RT 004/002 Ds. Sukadanau Kec. Cikarang Barat Kab. Bekasi</t>
  </si>
  <si>
    <t>DN-02/D-SMP/K13/0092062</t>
  </si>
  <si>
    <t>0077314727</t>
  </si>
  <si>
    <t>M. REUBEN ARFAQI AGUSTIAN</t>
  </si>
  <si>
    <t xml:space="preserve"> 1 Agustus 2007</t>
  </si>
  <si>
    <t>SUHANA</t>
  </si>
  <si>
    <t>Kp. Jarakosta RT 01/01 Ds. Danau Indah Kec. Cikarang Barat Kab. Bekasi</t>
  </si>
  <si>
    <t>MTs-22090014636</t>
  </si>
  <si>
    <t>0078743168</t>
  </si>
  <si>
    <t>MUHAMMAD TAUPIQ NUR SALEH</t>
  </si>
  <si>
    <t>23 Oktober 2007</t>
  </si>
  <si>
    <t>NURDIAN</t>
  </si>
  <si>
    <t>DN-02/D-SMP/K13/0087448</t>
  </si>
  <si>
    <t>0067588196</t>
  </si>
  <si>
    <t>MARYATI</t>
  </si>
  <si>
    <t>23 Desember 2006</t>
  </si>
  <si>
    <t>CATIM</t>
  </si>
  <si>
    <t>MTs-22100154073</t>
  </si>
  <si>
    <t>0062811006</t>
  </si>
  <si>
    <t>MEISYA DITA KHOIRUNISA</t>
  </si>
  <si>
    <t xml:space="preserve"> 1 Mei 2006</t>
  </si>
  <si>
    <t xml:space="preserve">BO'AN </t>
  </si>
  <si>
    <t>Kp. Tegal Tangsi RT 003/003 Ds. Jatiwangi Kec.Cikarang barat</t>
  </si>
  <si>
    <t>DN-02/D-SMP/K13/0087404</t>
  </si>
  <si>
    <t>0079477598</t>
  </si>
  <si>
    <t>MELA MELATI</t>
  </si>
  <si>
    <t xml:space="preserve"> 2 Juli 2007</t>
  </si>
  <si>
    <t xml:space="preserve">NABRIH </t>
  </si>
  <si>
    <t>Kp. Jarakosta RT 002/001 Ds. Danau Indah</t>
  </si>
  <si>
    <t>DN-02/D-SMP/K13/0087443</t>
  </si>
  <si>
    <t>0076891945</t>
  </si>
  <si>
    <t>MUHAMMAD ALBANI FAHREZI</t>
  </si>
  <si>
    <t xml:space="preserve"> 30 Januari 2007</t>
  </si>
  <si>
    <t>MARSUDI</t>
  </si>
  <si>
    <t>Kp. Mariuk RT 005/003 Ds. Ganda Mekar Kec. Cikarang Barat Kab. Bekasi</t>
  </si>
  <si>
    <t>DN-02/D-SMP/K13/0092064</t>
  </si>
  <si>
    <t>0075569471</t>
  </si>
  <si>
    <t>NABILAH</t>
  </si>
  <si>
    <t>18 September 2007</t>
  </si>
  <si>
    <t>ANDAN</t>
  </si>
  <si>
    <t>Kp. Cikedokan RT 002/001 Ds. Cibening Ke. Cikarang Barat Kab. Bekasi</t>
  </si>
  <si>
    <t>MTs-22100155643</t>
  </si>
  <si>
    <t>0078588369</t>
  </si>
  <si>
    <t>NAYSILLA PUTRI SHAFERA</t>
  </si>
  <si>
    <t>13 Juni 2007</t>
  </si>
  <si>
    <t>NAMUR</t>
  </si>
  <si>
    <t>Kp. Jarakosta RT 002/001 Ds. Danau Indah Kec. Cikarang Barat</t>
  </si>
  <si>
    <t>DN-02/D-SMP/K13/0087449</t>
  </si>
  <si>
    <t>0072030963</t>
  </si>
  <si>
    <t>NAZWAN ALFIANSYAHFA</t>
  </si>
  <si>
    <t>19 April 2007</t>
  </si>
  <si>
    <t>RO'I MAULANA</t>
  </si>
  <si>
    <t>DN-02/D-SMP/K13/0157835</t>
  </si>
  <si>
    <t>0077060831</t>
  </si>
  <si>
    <t>RANGGA SURYANA</t>
  </si>
  <si>
    <t>9 Januari 2007</t>
  </si>
  <si>
    <t>AANG SURYANA</t>
  </si>
  <si>
    <t>Kp. Jarakosta RT 003/002 Ds. Sukadanau</t>
  </si>
  <si>
    <t>DN-02/D-SMP/K13/0087420</t>
  </si>
  <si>
    <t>0066712083</t>
  </si>
  <si>
    <t>RIKO JULIANTO</t>
  </si>
  <si>
    <t>25 Juli 2006</t>
  </si>
  <si>
    <t>ADE HENDRI</t>
  </si>
  <si>
    <t>DN-02/D-SMP/K13/0087623</t>
  </si>
  <si>
    <t>0076747595</t>
  </si>
  <si>
    <t>SALSA BILA MAHMUD</t>
  </si>
  <si>
    <t>21 Maret 2007</t>
  </si>
  <si>
    <t xml:space="preserve">AMIR MAHMUD </t>
  </si>
  <si>
    <t>Kp. Rawa Batok RT 006/002 Kec. Cikarang Barat Kab. Bekasi</t>
  </si>
  <si>
    <t>MTs-22100155330</t>
  </si>
  <si>
    <t>0078968270</t>
  </si>
  <si>
    <t>SILVIA NUROHMAH</t>
  </si>
  <si>
    <t>20 Agustus 2007</t>
  </si>
  <si>
    <t>MA'MUN</t>
  </si>
  <si>
    <t xml:space="preserve">Kp. Kamurang RT 002/004 Ds. Cikedokan Kec. Cikarang Barat </t>
  </si>
  <si>
    <t>MTs-22100154142</t>
  </si>
  <si>
    <t>0076329241</t>
  </si>
  <si>
    <t>SINTIA LESTARI</t>
  </si>
  <si>
    <t>11 Mei 2007</t>
  </si>
  <si>
    <t>SANO</t>
  </si>
  <si>
    <t>Kp. Jarakosta RT 002/003 Ds. Danau Indah</t>
  </si>
  <si>
    <t>DN-02/D-SMP/K13/0087596</t>
  </si>
  <si>
    <t>0077784003</t>
  </si>
  <si>
    <t>VILLY NUR SADELA</t>
  </si>
  <si>
    <t xml:space="preserve"> 14 Mei 2007</t>
  </si>
  <si>
    <t>YUNUS PRIANTO</t>
  </si>
  <si>
    <t xml:space="preserve">Mengetahui </t>
  </si>
  <si>
    <t>Bekasi,      Desember 2024</t>
  </si>
  <si>
    <t>Pengawas Sekolah</t>
  </si>
  <si>
    <t>Kepala SMK BINA INDUSTRI</t>
  </si>
  <si>
    <t xml:space="preserve">Lusharyany Wanturol Tulistyowati, M.Pd.
</t>
  </si>
  <si>
    <t xml:space="preserve">Syafrizal,M.Pd. I
</t>
  </si>
  <si>
    <t>NIP. 197012171998022005</t>
  </si>
  <si>
    <t>NIP : -</t>
  </si>
  <si>
    <t>NAMA SISWA</t>
  </si>
  <si>
    <t>TEMPAT</t>
  </si>
  <si>
    <t>TANGGAL LAHIR</t>
  </si>
  <si>
    <t>Program Keahlian</t>
  </si>
  <si>
    <t>JK</t>
  </si>
  <si>
    <t>PAI</t>
  </si>
  <si>
    <t>PPKN</t>
  </si>
  <si>
    <t>Bhs. Indonesia</t>
  </si>
  <si>
    <t>Matematika</t>
  </si>
  <si>
    <t>Sejarah Indonesia</t>
  </si>
  <si>
    <t>Bhs. Inggris</t>
  </si>
  <si>
    <t>Seni Budaya</t>
  </si>
  <si>
    <t>PJOK</t>
  </si>
  <si>
    <t>Bahasa Sunda</t>
  </si>
  <si>
    <t>SIMULASI DIGITAL</t>
  </si>
  <si>
    <t>FISIKA</t>
  </si>
  <si>
    <t>KIMIA</t>
  </si>
  <si>
    <t>Dasar Program</t>
  </si>
  <si>
    <t>Kompetensi Keahlian</t>
  </si>
  <si>
    <t xml:space="preserve">rata rata </t>
  </si>
  <si>
    <t>PKK</t>
  </si>
  <si>
    <t>NAMA ORTU</t>
  </si>
  <si>
    <t>Teknik Dan Bisnis Sepeda Motor</t>
  </si>
  <si>
    <t>Ciamis</t>
  </si>
  <si>
    <t>Bandung</t>
  </si>
  <si>
    <t>Tasik Malaya</t>
  </si>
  <si>
    <t>Sragen</t>
  </si>
  <si>
    <t>Tanggerang</t>
  </si>
  <si>
    <t>Majalengka</t>
  </si>
  <si>
    <t>Bantul</t>
  </si>
  <si>
    <t>Karawang</t>
  </si>
  <si>
    <t>Purbalingga</t>
  </si>
  <si>
    <t>Magetan</t>
  </si>
  <si>
    <t>Tasikmalaya</t>
  </si>
  <si>
    <t>NO</t>
  </si>
  <si>
    <t>No Surat</t>
  </si>
  <si>
    <t>NAMA ORANG TUA</t>
  </si>
  <si>
    <t>Teknik Elektronika Industri</t>
  </si>
  <si>
    <t>No</t>
  </si>
  <si>
    <t>TEMAPAT</t>
  </si>
  <si>
    <t>Nama</t>
  </si>
  <si>
    <t>PAI 1</t>
  </si>
  <si>
    <t>PAI 2</t>
  </si>
  <si>
    <t>PAI 3</t>
  </si>
  <si>
    <t>PAI 4</t>
  </si>
  <si>
    <t>PAI 5</t>
  </si>
  <si>
    <t>PAI 6</t>
  </si>
  <si>
    <t>PKN 1</t>
  </si>
  <si>
    <t>PKN 2</t>
  </si>
  <si>
    <t>PKN 3</t>
  </si>
  <si>
    <t>PKN 4</t>
  </si>
  <si>
    <t>PKN 5</t>
  </si>
  <si>
    <t>PKN 6</t>
  </si>
  <si>
    <t>BHS.IND 1</t>
  </si>
  <si>
    <t>BHS.IND 2</t>
  </si>
  <si>
    <t>BHS.IND 3</t>
  </si>
  <si>
    <t>BHS.IND 4</t>
  </si>
  <si>
    <t>BHS.IND 5</t>
  </si>
  <si>
    <t>BHS.IND 6</t>
  </si>
  <si>
    <t>MTK 1</t>
  </si>
  <si>
    <t>MTK 2</t>
  </si>
  <si>
    <t>MTK 3</t>
  </si>
  <si>
    <t>MTK 4</t>
  </si>
  <si>
    <t>MTK 5</t>
  </si>
  <si>
    <t>MTK 6</t>
  </si>
  <si>
    <t>ENGLISH 1</t>
  </si>
  <si>
    <t>ENGLISH 2</t>
  </si>
  <si>
    <t>ENGLISH 3</t>
  </si>
  <si>
    <t>ENGLISH 4</t>
  </si>
  <si>
    <t>ENGLISH 5</t>
  </si>
  <si>
    <t>ENGLISH 6</t>
  </si>
  <si>
    <t>SEJARAH.INDO 1</t>
  </si>
  <si>
    <t>SEJARAH.INDO 2</t>
  </si>
  <si>
    <t>SEJARAH.INDO 3</t>
  </si>
  <si>
    <t>SEJARAH.INDO 4</t>
  </si>
  <si>
    <t>SEJARAH.INDO 5</t>
  </si>
  <si>
    <t>SEJARAH.INDO 6</t>
  </si>
  <si>
    <t>SENI BUDAYA 1</t>
  </si>
  <si>
    <t>SENI BUDAYA 2</t>
  </si>
  <si>
    <t>PJOK1</t>
  </si>
  <si>
    <t>PJOK2</t>
  </si>
  <si>
    <t>PJOK3</t>
  </si>
  <si>
    <t>PJOK4</t>
  </si>
  <si>
    <t>SIMDIG 1</t>
  </si>
  <si>
    <t>SIMDIG 2</t>
  </si>
  <si>
    <t>FISIKA 1</t>
  </si>
  <si>
    <t>FISIKA 2</t>
  </si>
  <si>
    <t>KIMIA 1</t>
  </si>
  <si>
    <t>KIMIA 2</t>
  </si>
  <si>
    <t>GT0 1</t>
  </si>
  <si>
    <t>GT0 2</t>
  </si>
  <si>
    <t>TDO 1</t>
  </si>
  <si>
    <t>TDO 2</t>
  </si>
  <si>
    <t>PDTO  1</t>
  </si>
  <si>
    <t>PDTO  2</t>
  </si>
  <si>
    <t>PMSM 3</t>
  </si>
  <si>
    <t>PMSM 4</t>
  </si>
  <si>
    <t>PMSM 5</t>
  </si>
  <si>
    <t>PMSM 6</t>
  </si>
  <si>
    <t>PSSM 3</t>
  </si>
  <si>
    <t>PSSM 4</t>
  </si>
  <si>
    <t>PSSM 5</t>
  </si>
  <si>
    <t>PSSM 6</t>
  </si>
  <si>
    <t>PLSM 3</t>
  </si>
  <si>
    <t>PLSM 4</t>
  </si>
  <si>
    <t>PLSM 5</t>
  </si>
  <si>
    <t>PLSM 6</t>
  </si>
  <si>
    <t>PBSM 5</t>
  </si>
  <si>
    <t>PBSM 6</t>
  </si>
  <si>
    <t>PKK 3</t>
  </si>
  <si>
    <t>PKK 4</t>
  </si>
  <si>
    <t>PKK 5</t>
  </si>
  <si>
    <t>PKK 6</t>
  </si>
  <si>
    <t>BHS.Sunda 1</t>
  </si>
  <si>
    <t>BHS.Sunda 2</t>
  </si>
  <si>
    <t>TEMPAT PKL 1</t>
  </si>
  <si>
    <t>ALAMAT PKL 1</t>
  </si>
  <si>
    <t>RENTANG WAKTU 1</t>
  </si>
  <si>
    <t>NILAI PKL</t>
  </si>
  <si>
    <t>PRAKTEK BHS.INDO</t>
  </si>
  <si>
    <t>PRAKTEK PAI</t>
  </si>
  <si>
    <t>PRAKTEK BHS.INGGRIS</t>
  </si>
  <si>
    <t>PRAKTEK PJOK</t>
  </si>
  <si>
    <t>PRAKTEK UKK</t>
  </si>
  <si>
    <t>UJIKOM</t>
  </si>
  <si>
    <t xml:space="preserve"> -</t>
  </si>
  <si>
    <t>PT. Mitsuba Indonesia</t>
  </si>
  <si>
    <t>Kawasan Industri MM2100 Jatiwangi Bekasi</t>
  </si>
  <si>
    <t>06 Mei 2024 - 02 Agt 2024</t>
  </si>
  <si>
    <t>B</t>
  </si>
  <si>
    <t>PT. Sohou Kikaku Indonesia</t>
  </si>
  <si>
    <t>MM2100 Jl. Lombok I, N- 16  Cikarang Barat</t>
  </si>
  <si>
    <t>27 Nov 2023 - 27 Agt 2024</t>
  </si>
  <si>
    <t>A</t>
  </si>
  <si>
    <t>PT. Alcomexindo</t>
  </si>
  <si>
    <t>Kp. Mariuk Rt 004 rw 002 Gandamekar Kec.Cikarang Barat</t>
  </si>
  <si>
    <t>7 Mei 2024 - 7 Nov 2024</t>
  </si>
  <si>
    <t>20 Juli 2024- 20 Nov 2024</t>
  </si>
  <si>
    <t>PT. SBP Indonesia</t>
  </si>
  <si>
    <t>12 Maret 2024 - 31 Mei 2024</t>
  </si>
  <si>
    <t>PT. Sliontec Ekadharma</t>
  </si>
  <si>
    <t>2 Mei 2024 - 2 Agustus 2024</t>
  </si>
  <si>
    <t>13 Nov 2023 - 29 Feb 2024</t>
  </si>
  <si>
    <t>PT Daido Metal Indonesia</t>
  </si>
  <si>
    <t>Kws. Industri MM2100 Kec.Cikarang Barat</t>
  </si>
  <si>
    <t>PT. Adyawinsa Plastics Industri</t>
  </si>
  <si>
    <t>Jl. Angsana Raya Blok L6 No 1 Delta Silicon 1, Lippo Cikarang</t>
  </si>
  <si>
    <t>19 April 2024 - 29 Juli 2024</t>
  </si>
  <si>
    <t>27 Nov 2023 - 27 Mei 2024</t>
  </si>
  <si>
    <t>PT. Sarana Unggul Pratama</t>
  </si>
  <si>
    <t>Lippo Cikarang Industrial Delta Silicon</t>
  </si>
  <si>
    <t>16 April 2024 -16 Juli 2024</t>
  </si>
  <si>
    <t>07 Feb 2024 - 07 Agt 2024</t>
  </si>
  <si>
    <t>02 Feb 2024 - 03 Mei 2024</t>
  </si>
  <si>
    <t>PT Sohou Kikaku Indonesia</t>
  </si>
  <si>
    <t>18 april 2024 -18 Okt 2024</t>
  </si>
  <si>
    <t>PT. Nusa Keihin Indonesia</t>
  </si>
  <si>
    <t xml:space="preserve">Jl. Selayar II Blok D7 No.1 MM2100 Jatiwangi </t>
  </si>
  <si>
    <t>22 Juli 2024- 29 Okt 2024</t>
  </si>
  <si>
    <t>14 Agt 2024- 5 Nov 2024</t>
  </si>
  <si>
    <t>PT King Plastic</t>
  </si>
  <si>
    <t>PT. Dae In Tech Indonesia</t>
  </si>
  <si>
    <t>Jl. Irian XII  Blok NN No. 6 Jatiwangi Cikarang Barat Bekasi</t>
  </si>
  <si>
    <t>22 Juni 2023 -22 Sept 2023</t>
  </si>
  <si>
    <t>PT. Sekiso Indonesia</t>
  </si>
  <si>
    <t>24 Juni 2024 - 27 Sept 2024</t>
  </si>
  <si>
    <t>PT. King Plastic</t>
  </si>
  <si>
    <t>20 Agt 2024 - 20 Nov 2024</t>
  </si>
  <si>
    <t>3 Nov 2024 - 1 Feb 2024</t>
  </si>
  <si>
    <r>
      <rPr>
        <sz val="12"/>
        <color rgb="FF202124"/>
        <rFont val="Times New Roman"/>
        <family val="1"/>
      </rPr>
      <t xml:space="preserve">Kp. Mariuk Rt 004 rw 002 Gandamekar </t>
    </r>
    <r>
      <rPr>
        <sz val="12"/>
        <color theme="1"/>
        <rFont val="Times New Roman"/>
        <family val="1"/>
      </rPr>
      <t>Kec.Cikarang Barat</t>
    </r>
  </si>
  <si>
    <t>01 Juli 2024 -27 Sept 2024</t>
  </si>
  <si>
    <t>20 Agustus - 20 Nov 2024</t>
  </si>
  <si>
    <t>6 Mei 2024 - 2 agustus 2024</t>
  </si>
  <si>
    <t>1 Feb 2024 - 1 Mei 2024</t>
  </si>
  <si>
    <t>29 April 2024- 29 Juli 2024</t>
  </si>
  <si>
    <t>19 Feb 2024 - 19 Agt 2024</t>
  </si>
  <si>
    <t>PT. Surtec Kariya Indonesia</t>
  </si>
  <si>
    <t>Kawasan Industri Gobel  Jl. Teuku Umar KM. 29, Telaga Asih</t>
  </si>
  <si>
    <t>21 Februari 2024 - 29 Juni 2024</t>
  </si>
  <si>
    <t>Kawasan Industri MM 2100 Blok N 3-7 Jl. Lombok Gandamekar, Mekarwangi, Kec. Cikarang Barat, Kab. Bekasi</t>
  </si>
  <si>
    <t>2 Mei - 31 Juli 2024</t>
  </si>
  <si>
    <t>PT. Dae In Tech</t>
  </si>
  <si>
    <t>MM2100 Jl. Lombok Blok C Cikarang Barat</t>
  </si>
  <si>
    <t>22 Januari 2024 - 10 Juni 2024</t>
  </si>
  <si>
    <t>PT. Koyorad Jaya Indonesia</t>
  </si>
  <si>
    <t>Jl. Lombok Blok N 3-7 MM2100 Gandamekar</t>
  </si>
  <si>
    <t>12 Feb 2024 -11 Mei 2024</t>
  </si>
  <si>
    <t>PT.King Plastic</t>
  </si>
  <si>
    <t>PT. Adyawinsa Plastic Industri</t>
  </si>
  <si>
    <t>20  Mei -19 Agustus 2024</t>
  </si>
  <si>
    <t>2 Feb - 3 Mei 2024</t>
  </si>
  <si>
    <t>13 Nov 2023 - 28 Feb 2024</t>
  </si>
  <si>
    <t>22 Agt 2024 - 28 Nov 2024</t>
  </si>
  <si>
    <t>PT.  Mitsuba Indonesia</t>
  </si>
  <si>
    <t>19 april 2024 -19 Juli 2024</t>
  </si>
  <si>
    <t>8 Januari 2024- 8 April 2024</t>
  </si>
  <si>
    <t>PT. Nusa Toyotetsu</t>
  </si>
  <si>
    <t>MM2100 Blok DD Cikarang Barat</t>
  </si>
  <si>
    <t>02April 2024 - 31 Juli 2024</t>
  </si>
  <si>
    <t>21 Maret 2024 - 31 Mei 2024</t>
  </si>
  <si>
    <t>20 Mei - 19 Agt 2024</t>
  </si>
  <si>
    <t>22 Juni - 22 September 2024</t>
  </si>
  <si>
    <t>3 Nov 2023- 3 Feb 2024</t>
  </si>
  <si>
    <t>1 Agt 2024- 28 Okt 2024</t>
  </si>
  <si>
    <t>PT. Nippisun Indonesia</t>
  </si>
  <si>
    <t>Kawasan MM2100 Jl. Sulawesi I. 1-1 Gandamekar Cikarang Barat</t>
  </si>
  <si>
    <t>22 April- 19 juli 2024</t>
  </si>
  <si>
    <t>3 Mei 2024 - 3 Agt 2024</t>
  </si>
  <si>
    <t>Blok NN Kawasan Industrial Town MM2100 Cikarang Barat</t>
  </si>
  <si>
    <t>13 Nov 2023- 29 Feb 2024</t>
  </si>
  <si>
    <t>Kawasan MM2100 Jl. Irian, Blok NN 1-1, Cikarang Barat</t>
  </si>
  <si>
    <t>12 Maret - 31 Mei 2024</t>
  </si>
  <si>
    <t>Delta Silicon II, Jl Gaharu No.9H Blok F2 Cikarang Pusat</t>
  </si>
  <si>
    <t>8 Januari - 8 April 2024</t>
  </si>
  <si>
    <t>PT. Jatiwangi Mandiri Persada</t>
  </si>
  <si>
    <t xml:space="preserve">Danau Indah Kec Cikarang Barat Bekasi </t>
  </si>
  <si>
    <t>12 Januari 2024- 30 Juli 2024</t>
  </si>
  <si>
    <t>PT. JST Indonesia</t>
  </si>
  <si>
    <t>Jl. Irian I Blok GG No. 4 MM2100 Cikarang Barat</t>
  </si>
  <si>
    <t>2 Sept 2024- 2 Maret 2025</t>
  </si>
  <si>
    <t>PT. TSA</t>
  </si>
  <si>
    <t>Kawasan MM2100 Jatiwangi Cikarang Barat Bekasi</t>
  </si>
  <si>
    <t>7 Sept 2023 - 7 Mei 2024</t>
  </si>
  <si>
    <t>PT. Sekiso Indusries Indonesia</t>
  </si>
  <si>
    <t>Kaw MM2100 BI Nn/13, Jatiwangi Cikarang Barat Bekasi</t>
  </si>
  <si>
    <t>24 juni 2024 - 29 Sept 2024</t>
  </si>
  <si>
    <t>22 Juli 2024- 22 Okt 2024</t>
  </si>
  <si>
    <t>PT. AKS Precision Ball Indonesia</t>
  </si>
  <si>
    <t>Jl. Kw. Industri, Gandamekar, Kec. Cikarang Bar, Kabupaten Bekasi, Jawa Barat</t>
  </si>
  <si>
    <t>18 April 2024- 18 Juli 2024</t>
  </si>
  <si>
    <t>1 Agt 2024- 25 Okt 2024</t>
  </si>
  <si>
    <t>PT. Toyo Denso Indonesia</t>
  </si>
  <si>
    <t>Jl. Irian No. 12 MM2100 Jatiwangi Cikarang Barat</t>
  </si>
  <si>
    <t>26 Juli 2024- 24  Des 2024</t>
  </si>
  <si>
    <t>13 Nov 2023- 28 Feb 2024</t>
  </si>
  <si>
    <t>5 Feb 2024- 5 Mei 2024</t>
  </si>
  <si>
    <t>1 Agt 2024 - 25 Okt 2024</t>
  </si>
  <si>
    <t>16 april- 16 Juli 2024</t>
  </si>
  <si>
    <t>PT. Nusa Toyotetsu Corp</t>
  </si>
  <si>
    <t>Jl. Bali I No. 12-15, Gandamekar, Cikarang Barat Bekasi</t>
  </si>
  <si>
    <t>2 April 2024 - 31 Juli 2024</t>
  </si>
  <si>
    <t>2 Mei -31 Juli 2024</t>
  </si>
  <si>
    <t>15 Juli -16 Oktober 2024</t>
  </si>
  <si>
    <t>20 Juli 2024 - 20 Nov 2024</t>
  </si>
  <si>
    <t>6 Mei - 3 Agustus 2024</t>
  </si>
  <si>
    <t>Kaw Industri MM2100 Blok N 3-7 Jl Lombok Gandamekar</t>
  </si>
  <si>
    <t>12 Feb - 11 Mei 2024</t>
  </si>
  <si>
    <t>5 Feb -5 Agustus 2024</t>
  </si>
  <si>
    <t>NAMA</t>
  </si>
  <si>
    <t>KBGT 1</t>
  </si>
  <si>
    <t>KBGT 2</t>
  </si>
  <si>
    <t>DLE 1</t>
  </si>
  <si>
    <t>DLE 2</t>
  </si>
  <si>
    <t>TPMM 1</t>
  </si>
  <si>
    <t>TPMM 2</t>
  </si>
  <si>
    <t>MM 3</t>
  </si>
  <si>
    <t>MM 4</t>
  </si>
  <si>
    <t>PRE 3</t>
  </si>
  <si>
    <t>PRE 4</t>
  </si>
  <si>
    <t>PRE 5</t>
  </si>
  <si>
    <t>PRE 6</t>
  </si>
  <si>
    <t>SPE 3</t>
  </si>
  <si>
    <t>SPE 4</t>
  </si>
  <si>
    <t>SPE 5</t>
  </si>
  <si>
    <t>SPE 6</t>
  </si>
  <si>
    <t>PSR 3</t>
  </si>
  <si>
    <t>PSR 4</t>
  </si>
  <si>
    <t>PSR 5</t>
  </si>
  <si>
    <t>PSR 6</t>
  </si>
  <si>
    <t>PPPPE 5</t>
  </si>
  <si>
    <t>PPPPE 6</t>
  </si>
  <si>
    <t>TEMPAT PKL 2</t>
  </si>
  <si>
    <t>ALAMAT PKL 2</t>
  </si>
  <si>
    <t>RENTANG WAKTU 2</t>
  </si>
  <si>
    <t>TEMPAT PKL 3</t>
  </si>
  <si>
    <t>ALAMAT PKL 3</t>
  </si>
  <si>
    <t>RENTANG WAKTU 3</t>
  </si>
  <si>
    <t>PT. Dynaplast 06</t>
  </si>
  <si>
    <t>Jl Raya Industri  Hyundai Cikarang Selatan</t>
  </si>
  <si>
    <t>24 Nov 2023 - 23 Feb 2024</t>
  </si>
  <si>
    <t>PT. Tokyo Seimitsu Buhin</t>
  </si>
  <si>
    <t>MM2100 Jl Irian XI Blok LL No 10 Jatiwangi Cikarang Barat</t>
  </si>
  <si>
    <t>20 Feb - 20 mei 2024</t>
  </si>
  <si>
    <t>PT. Adyawinsa Plastics</t>
  </si>
  <si>
    <t>29 April - 29 Juli 2024</t>
  </si>
  <si>
    <t>23 Feb -22 Mei 2024</t>
  </si>
  <si>
    <t>23 Feb - 22 Agustus 2024</t>
  </si>
  <si>
    <t>Kws. Industri MM2100 Cikarang Barat Kab.Bekasi</t>
  </si>
  <si>
    <t>23 Nov 2023 - 23 Feb 2024</t>
  </si>
  <si>
    <t>20 Mei -19 Agustus 2024</t>
  </si>
  <si>
    <t>02 Feb-03 Mei 2024</t>
  </si>
  <si>
    <t>14 Des 2023 - 14 Feb 2024</t>
  </si>
  <si>
    <t>PT.JST Indonesia</t>
  </si>
  <si>
    <t>7 Sept 2023 - 1 Maret 2024</t>
  </si>
  <si>
    <t>PT. Kojin Indonesia</t>
  </si>
  <si>
    <t>Blok Ll-8-1 MM2100 Industrial Town Cikarang Barat</t>
  </si>
  <si>
    <t>2 Mei 2024 - 30 Agt 2024</t>
  </si>
  <si>
    <t>02 Feb - 03 Mei 2024</t>
  </si>
  <si>
    <t>PT. Astra Otoparts Tbk</t>
  </si>
  <si>
    <t>Kawasan GIIC Kav AA No 25 Sukamahi Cikarang Pusat</t>
  </si>
  <si>
    <t>7 Mei 2024 - 7 Agt 2024</t>
  </si>
  <si>
    <t>Jl. Irian XII Blok NN No.6 Jatiwangi Cikarang barat Bekasi</t>
  </si>
  <si>
    <t>22 Nov 2023 - 22 Feb 2024</t>
  </si>
  <si>
    <t>Jl. Timur Blok E no 8 Ds Jatiwangi MM2100</t>
  </si>
  <si>
    <t>22 Juli 2024 - 2 Okt 2024</t>
  </si>
  <si>
    <t>PT Sarana Unggul Pratama</t>
  </si>
  <si>
    <t>29 Januari - 29 April 2024</t>
  </si>
  <si>
    <t>26 Juni 2024- 27  Des 2024</t>
  </si>
  <si>
    <t>23 Nov 2023 - 22 Feb 2024</t>
  </si>
  <si>
    <t xml:space="preserve">14 Des 2023 - 14 Maret 2024 </t>
  </si>
  <si>
    <t>27 Juni 2024 - 26 Sept 2024</t>
  </si>
  <si>
    <t>PT. OHSUNG Electronic</t>
  </si>
  <si>
    <t>19 Feb - 17 Mei 2024</t>
  </si>
  <si>
    <t>Jl. Gaharu Blok F5 No. 11H, Delta Silicon Cikarang Pusat</t>
  </si>
  <si>
    <t>29 Januari - 28 April 2024</t>
  </si>
  <si>
    <t>PT. POS INDONESIA</t>
  </si>
  <si>
    <t>MM2100 Jl. Sumatera Gandamekar Cikarang Barat</t>
  </si>
  <si>
    <t>12 Okt 2023 - 17 Jan 2024</t>
  </si>
  <si>
    <t>PT. Sigma &amp; Heart Indonesia</t>
  </si>
  <si>
    <t>Jl. Timor Jatiwangi Cikarang Barat Bekasi</t>
  </si>
  <si>
    <t>6 Nov 2023 - 15 Jan 2024</t>
  </si>
  <si>
    <t>1 Agt 2024 - 31 Okt 2024</t>
  </si>
  <si>
    <t>2 Mei - 2 September 2024</t>
  </si>
  <si>
    <t>3 Mei 2024 -3 Agt 2024</t>
  </si>
  <si>
    <t>28 Juni 2024 - 26 Sept 2024</t>
  </si>
  <si>
    <t xml:space="preserve">PT. Sliontec Ekadharma </t>
  </si>
  <si>
    <t>MM2100 Blok OO-1 Jatiwangi Cikarang Barat Bekasi</t>
  </si>
  <si>
    <t>24 Jan 2024 - 23 April 2024</t>
  </si>
  <si>
    <t>22 Juni 2023 - 22 Sept 2023</t>
  </si>
  <si>
    <t>29 Juli 2024 - 29 Okt 2024</t>
  </si>
  <si>
    <r>
      <rPr>
        <sz val="11"/>
        <color rgb="FF202124"/>
        <rFont val="Times New Roman"/>
        <family val="1"/>
      </rPr>
      <t>Kws. Industri MM2100 Cikarang Barat</t>
    </r>
    <r>
      <rPr>
        <sz val="11"/>
        <color theme="1"/>
        <rFont val="Times New Roman"/>
        <family val="1"/>
      </rPr>
      <t xml:space="preserve"> Kab.Bekasi</t>
    </r>
  </si>
  <si>
    <t>19 Feb 2024 - 19 Mei 2024</t>
  </si>
  <si>
    <t>PT. Astra Otoparts, Tbk-Divisi E</t>
  </si>
  <si>
    <t>23 Nov 2023 - 22  Feb 2024</t>
  </si>
  <si>
    <t>3 Mei 2024 - 2 Agt 2024</t>
  </si>
  <si>
    <t>PT. TOYO DENSO INDONESIA</t>
  </si>
  <si>
    <t>MM2100 Jl. Irian No. 12 Jatiwangi Cikarang Barat Bekasi</t>
  </si>
  <si>
    <t>28 Juni 2024 - 27 Sept 2024</t>
  </si>
  <si>
    <t>PT. Sliontec Ekadharma Indonesia</t>
  </si>
  <si>
    <t>MM2100 Blok OO-1 Jatiwangi Cikarang Barat</t>
  </si>
  <si>
    <t>28 Jan 2024 - 23 April 2024</t>
  </si>
  <si>
    <t>23 Nov 2023 - 23  Feb 2024</t>
  </si>
  <si>
    <t>26 Juni 2024 - 26 Sept 2024</t>
  </si>
  <si>
    <t>23 Nov 2023 - 24 Feb 2024</t>
  </si>
  <si>
    <t>PT.OHSUNG ELECTRONIC INDONESIA</t>
  </si>
  <si>
    <t>15 Feb 2024 -15 Mei 2024</t>
  </si>
  <si>
    <t>PT. OHSUNG ELECTRONIC INDONESIA</t>
  </si>
  <si>
    <t>1 Maret -31 Maret 2024</t>
  </si>
  <si>
    <t>PT OHSUNG  ELECTRIC INDONESIA</t>
  </si>
  <si>
    <r>
      <rPr>
        <sz val="12"/>
        <color rgb="FF202124"/>
        <rFont val="Times New Roman"/>
        <family val="1"/>
      </rPr>
      <t>Kws. Industri MM2100 Cikarang Barat</t>
    </r>
    <r>
      <rPr>
        <sz val="12"/>
        <color theme="1"/>
        <rFont val="Times New Roman"/>
        <family val="1"/>
      </rPr>
      <t xml:space="preserve"> Kab.Bekasi</t>
    </r>
  </si>
  <si>
    <t>PT. Adyawinsa Plastics Industry</t>
  </si>
  <si>
    <t>PT OHSUNG ELECTRIC INDONESIA</t>
  </si>
  <si>
    <t>PT. Astra Otoparts, Tbk</t>
  </si>
  <si>
    <t>Jl. Bali I Blok J No. 12 Kawasan MM2100</t>
  </si>
  <si>
    <t>22 Maret 2024 - 31  Juli 2024</t>
  </si>
  <si>
    <t xml:space="preserve">Kawasan MM2100 Jatiwangi Cikarang Barat </t>
  </si>
  <si>
    <t>20 Agt 2024 - 19 Nov 2024</t>
  </si>
  <si>
    <t>Bengkel Ascomotor</t>
  </si>
  <si>
    <t>Cikarang Barat Bekasi</t>
  </si>
  <si>
    <t>3 juni 2024 - 22 sept 2024</t>
  </si>
  <si>
    <t xml:space="preserve">23 Feb - 24 Mei 2024 </t>
  </si>
  <si>
    <t>PT Dynaplast 06</t>
  </si>
  <si>
    <t>23 Feb - 24 Mei 2024</t>
  </si>
  <si>
    <t>NILAI PKL 2</t>
  </si>
  <si>
    <t>23 Feb - 23 Agust 2024</t>
  </si>
  <si>
    <t xml:space="preserve">PT.  Koyorad Jaya Indonesia </t>
  </si>
  <si>
    <t>NILAI RATA RATA PAI</t>
  </si>
  <si>
    <t>RATA-RATA PKN</t>
  </si>
  <si>
    <t>RATA-RATA BHS.INDO</t>
  </si>
  <si>
    <t>RATA-RATA BHS.INGGRIS</t>
  </si>
  <si>
    <t>RATA-RATA SENI BUDAYA</t>
  </si>
  <si>
    <t>RATA PJOK</t>
  </si>
  <si>
    <t>RATA BHS.SUNDA</t>
  </si>
  <si>
    <t>RATA KIMIA</t>
  </si>
  <si>
    <t>RATA FISIKA</t>
  </si>
  <si>
    <t>RATA SIMDIG</t>
  </si>
  <si>
    <t>RATA TDO</t>
  </si>
  <si>
    <t>RATA PDTO</t>
  </si>
  <si>
    <t>RATA GTO</t>
  </si>
  <si>
    <t>RATA MESIN</t>
  </si>
  <si>
    <t>RATA SASIS</t>
  </si>
  <si>
    <t>RATA LISTRIK</t>
  </si>
  <si>
    <t>RATA PKK</t>
  </si>
  <si>
    <t>RATA PBSM</t>
  </si>
  <si>
    <t>RATA-RATA BHS.MTK</t>
  </si>
  <si>
    <t>RATA-RATA MTK</t>
  </si>
  <si>
    <t>RATA KBGT</t>
  </si>
  <si>
    <t>RATA TPMM</t>
  </si>
  <si>
    <t>RATA DLE</t>
  </si>
  <si>
    <t>RATA MM</t>
  </si>
  <si>
    <t>RATA SPE</t>
  </si>
  <si>
    <t>RATA PRE</t>
  </si>
  <si>
    <t>RATA P4E</t>
  </si>
  <si>
    <t>RATA PSR</t>
  </si>
  <si>
    <t>Workshop TBSM SMK Bina Industri</t>
  </si>
  <si>
    <t>Jl. Alun-Alun 01 Kp. Cibarengkok RT.004/002Ds.Jatiwangi</t>
  </si>
  <si>
    <t>01 Sept- 30 Okto 2024</t>
  </si>
  <si>
    <t>nilai pkl ke 2</t>
  </si>
  <si>
    <t>NIALI PKL 3</t>
  </si>
  <si>
    <t>Workshop TELIND SMK Bina Industri</t>
  </si>
  <si>
    <t>RATA SEJARAH INDO</t>
  </si>
  <si>
    <t>RATA MTK</t>
  </si>
  <si>
    <t>RATA sejarah indo</t>
  </si>
  <si>
    <t>22 Nov 2023 - 22  Feb 2024</t>
  </si>
  <si>
    <t>23 Feb - 24 Apr 2024</t>
  </si>
  <si>
    <t>NO. IJAZAH</t>
  </si>
  <si>
    <t>141202510111852</t>
  </si>
  <si>
    <t>141202510111865</t>
  </si>
  <si>
    <t>141202510111886</t>
  </si>
  <si>
    <t>141202510111898</t>
  </si>
  <si>
    <t>141202510111916</t>
  </si>
  <si>
    <t>141202510111924</t>
  </si>
  <si>
    <t>141202510111937</t>
  </si>
  <si>
    <t>141202510111942</t>
  </si>
  <si>
    <t>141202510111974</t>
  </si>
  <si>
    <t>141202510111997</t>
  </si>
  <si>
    <t>141202510112001</t>
  </si>
  <si>
    <t>141202510112029</t>
  </si>
  <si>
    <t>141202510112033</t>
  </si>
  <si>
    <t>141202510112041</t>
  </si>
  <si>
    <t>141202510112056</t>
  </si>
  <si>
    <t>141202510112079</t>
  </si>
  <si>
    <t>141202510112091</t>
  </si>
  <si>
    <t>141202510112137</t>
  </si>
  <si>
    <t>141202510112145</t>
  </si>
  <si>
    <t>141202510112151</t>
  </si>
  <si>
    <t>141202510112167</t>
  </si>
  <si>
    <t>141202510112186</t>
  </si>
  <si>
    <t>141202510112197</t>
  </si>
  <si>
    <t>141202510112213</t>
  </si>
  <si>
    <t>141202510112236</t>
  </si>
  <si>
    <t>141202510112253</t>
  </si>
  <si>
    <t>141202510112269</t>
  </si>
  <si>
    <t>141202510112274</t>
  </si>
  <si>
    <t>141202510112284</t>
  </si>
  <si>
    <t>141202510112299</t>
  </si>
  <si>
    <t>141202510112318</t>
  </si>
  <si>
    <t>141202510112322</t>
  </si>
  <si>
    <t>141202510112359</t>
  </si>
  <si>
    <t>141202510112382</t>
  </si>
  <si>
    <t>141202510112409</t>
  </si>
  <si>
    <t>141202510112415</t>
  </si>
  <si>
    <t>141202510112447</t>
  </si>
  <si>
    <t>141202510112457</t>
  </si>
  <si>
    <t>141202510112462</t>
  </si>
  <si>
    <t>141202510112489</t>
  </si>
  <si>
    <t>141202510112524</t>
  </si>
  <si>
    <t>141202510112548</t>
  </si>
  <si>
    <t>141202510112769</t>
  </si>
  <si>
    <t>141202510112586</t>
  </si>
  <si>
    <t>141202510112597</t>
  </si>
  <si>
    <t>141202510112604</t>
  </si>
  <si>
    <t>141202510112616</t>
  </si>
  <si>
    <t>141202510112578</t>
  </si>
  <si>
    <t>141202510112679</t>
  </si>
  <si>
    <t>141202510112685</t>
  </si>
  <si>
    <t>141202510112697</t>
  </si>
  <si>
    <t>141202510112707</t>
  </si>
  <si>
    <t>141202510112711</t>
  </si>
  <si>
    <t>141202510112734</t>
  </si>
  <si>
    <t>141202510112758</t>
  </si>
  <si>
    <t>141202510112537</t>
  </si>
  <si>
    <t>141202510112771</t>
  </si>
  <si>
    <t>141202510112796</t>
  </si>
  <si>
    <t>141202510112808</t>
  </si>
  <si>
    <t>141202510112818</t>
  </si>
  <si>
    <t>141202510112822</t>
  </si>
  <si>
    <t>141202510112846</t>
  </si>
  <si>
    <t>141202510112864</t>
  </si>
  <si>
    <t>141202510112915</t>
  </si>
  <si>
    <t>141202510112922</t>
  </si>
  <si>
    <t>141202510112966</t>
  </si>
  <si>
    <t>141202510112971</t>
  </si>
  <si>
    <t>141202510112984</t>
  </si>
  <si>
    <t>141202510113037</t>
  </si>
  <si>
    <t>141202510113047</t>
  </si>
  <si>
    <t>141202510113051</t>
  </si>
  <si>
    <t>141202510113064</t>
  </si>
  <si>
    <t>141202510113089</t>
  </si>
  <si>
    <t>141202510113099</t>
  </si>
  <si>
    <t>141202510113107</t>
  </si>
  <si>
    <t>141202510113169</t>
  </si>
  <si>
    <t>141202510113207</t>
  </si>
  <si>
    <t>141202510113213</t>
  </si>
  <si>
    <t>141202510113235</t>
  </si>
  <si>
    <t>141202510113253</t>
  </si>
  <si>
    <t>141202510113265</t>
  </si>
  <si>
    <t>NOMER IJAZAH</t>
  </si>
  <si>
    <t>141202510111878</t>
  </si>
  <si>
    <t>141202510111901</t>
  </si>
  <si>
    <t>141202510111953</t>
  </si>
  <si>
    <t>141202510111962</t>
  </si>
  <si>
    <t>141202510111982</t>
  </si>
  <si>
    <t>141202510112018</t>
  </si>
  <si>
    <t>141202510112061</t>
  </si>
  <si>
    <t>141202510112087</t>
  </si>
  <si>
    <t>141202510112107</t>
  </si>
  <si>
    <t>141202510112115</t>
  </si>
  <si>
    <t>141202510112129</t>
  </si>
  <si>
    <t>141202510112171</t>
  </si>
  <si>
    <t>141202510112207</t>
  </si>
  <si>
    <t>141202510112226</t>
  </si>
  <si>
    <t>141202510112245</t>
  </si>
  <si>
    <t>141202510112303</t>
  </si>
  <si>
    <t>141202510112332</t>
  </si>
  <si>
    <t>141202510112342</t>
  </si>
  <si>
    <t>141202510112361</t>
  </si>
  <si>
    <t>141202510112377</t>
  </si>
  <si>
    <t>141202510112397</t>
  </si>
  <si>
    <t>141202510112427</t>
  </si>
  <si>
    <t>141202510112433</t>
  </si>
  <si>
    <t>141202510112477</t>
  </si>
  <si>
    <t>141202510112491</t>
  </si>
  <si>
    <t>141202510112506</t>
  </si>
  <si>
    <t>141202510112514</t>
  </si>
  <si>
    <t>141202510112556</t>
  </si>
  <si>
    <t>141202510112561</t>
  </si>
  <si>
    <t>141202510112625</t>
  </si>
  <si>
    <t>141202510112637</t>
  </si>
  <si>
    <t>141202510112644</t>
  </si>
  <si>
    <t>141202510112658</t>
  </si>
  <si>
    <t>141202510112661</t>
  </si>
  <si>
    <t>141202510112728</t>
  </si>
  <si>
    <t>141202510112742</t>
  </si>
  <si>
    <t>141202510112785</t>
  </si>
  <si>
    <t>141202510112833</t>
  </si>
  <si>
    <t>141202510112858</t>
  </si>
  <si>
    <t>141202510112875</t>
  </si>
  <si>
    <t>141202510112884</t>
  </si>
  <si>
    <t>141202510112893</t>
  </si>
  <si>
    <t>141202510112907</t>
  </si>
  <si>
    <t>141202510112933</t>
  </si>
  <si>
    <t>141202510112945</t>
  </si>
  <si>
    <t>141202510112955</t>
  </si>
  <si>
    <t>141202510112997</t>
  </si>
  <si>
    <t>141202510113003</t>
  </si>
  <si>
    <t>141202510113012</t>
  </si>
  <si>
    <t>141202510113027</t>
  </si>
  <si>
    <t>141202510113076</t>
  </si>
  <si>
    <t>141202510113118</t>
  </si>
  <si>
    <t>141202510113122</t>
  </si>
  <si>
    <t>141202510113134</t>
  </si>
  <si>
    <t>141202510113147</t>
  </si>
  <si>
    <t>141202510113159</t>
  </si>
  <si>
    <t>141202510113173</t>
  </si>
  <si>
    <t>141202510113187</t>
  </si>
  <si>
    <t>141202510113198</t>
  </si>
  <si>
    <t>141202510113222</t>
  </si>
  <si>
    <t>141202510113243</t>
  </si>
  <si>
    <t>RATA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</si>
</sst>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21]dd\ mmmm\ yyyy"/>
    <numFmt numFmtId="166" formatCode="0.0"/>
    <numFmt numFmtId="167" formatCode="0.00;[Red]0.00"/>
    <numFmt numFmtId="168" formatCode="d\-mmm\-yyyy"/>
  </numFmts>
  <fonts count="4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6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202124"/>
      <name val="Times New Roman"/>
      <family val="1"/>
    </font>
    <font>
      <sz val="11"/>
      <color rgb="FF202124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color rgb="FF202124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28"/>
      <color theme="1"/>
      <name val="Times New Roman"/>
      <family val="1"/>
    </font>
    <font>
      <sz val="18"/>
      <color theme="1"/>
      <name val="Times New Roman"/>
      <family val="1"/>
    </font>
    <font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b/>
      <sz val="48"/>
      <color theme="1"/>
      <name val="Times New Roman"/>
      <family val="1"/>
    </font>
    <font>
      <sz val="36"/>
      <color theme="1"/>
      <name val="Times New Roman"/>
      <family val="1"/>
    </font>
    <font>
      <b/>
      <sz val="28"/>
      <color theme="1"/>
      <name val="Times New Roman"/>
      <family val="1"/>
    </font>
    <font>
      <sz val="18"/>
      <color theme="1"/>
      <name val="Calibri"/>
      <family val="2"/>
    </font>
    <font>
      <b/>
      <sz val="36"/>
      <color rgb="FF000000"/>
      <name val="Times New Roman"/>
      <family val="1"/>
    </font>
    <font>
      <sz val="36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8"/>
      <color theme="1"/>
      <name val="Times New Roman"/>
      <family val="1"/>
    </font>
    <font>
      <sz val="18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u/>
      <sz val="18"/>
      <name val="Times New Roman"/>
      <family val="1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1E293B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00B0F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39988402966399123"/>
        <bgColor rgb="FFE6B8AF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5" tint="0.59999389629810485"/>
        <bgColor rgb="FFFBD4B4"/>
      </patternFill>
    </fill>
    <fill>
      <patternFill patternType="solid">
        <fgColor theme="5" tint="0.59999389629810485"/>
        <bgColor rgb="FFFCD5B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9" tint="0.59999389629810485"/>
        <bgColor rgb="FF00B0F0"/>
      </patternFill>
    </fill>
    <fill>
      <patternFill patternType="solid">
        <fgColor theme="9" tint="0.59999389629810485"/>
        <bgColor rgb="FFFBD4B4"/>
      </patternFill>
    </fill>
    <fill>
      <patternFill patternType="solid">
        <fgColor theme="8" tint="0.59999389629810485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rgb="FFE6B8AF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7" tint="0.39988402966399123"/>
        <bgColor rgb="FFFFFFFF"/>
      </patternFill>
    </fill>
    <fill>
      <patternFill patternType="solid">
        <fgColor theme="3" tint="0.79989013336588644"/>
        <bgColor rgb="FFE6B8AF"/>
      </patternFill>
    </fill>
    <fill>
      <patternFill patternType="solid">
        <fgColor theme="3" tint="0.79989013336588644"/>
        <bgColor rgb="FFDAEEF3"/>
      </patternFill>
    </fill>
    <fill>
      <patternFill patternType="solid">
        <fgColor theme="3" tint="0.79989013336588644"/>
        <bgColor rgb="FFFFFFFF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4" fontId="39" fillId="0" borderId="0" applyFont="0" applyFill="0" applyBorder="0" applyAlignment="0" applyProtection="0"/>
    <xf numFmtId="0" fontId="40" fillId="0" borderId="0"/>
    <xf numFmtId="0" fontId="41" fillId="0" borderId="0"/>
    <xf numFmtId="0" fontId="41" fillId="0" borderId="0"/>
  </cellStyleXfs>
  <cellXfs count="34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2" borderId="0" xfId="0" applyFont="1" applyFill="1"/>
    <xf numFmtId="165" fontId="0" fillId="0" borderId="0" xfId="0" applyNumberFormat="1"/>
    <xf numFmtId="49" fontId="0" fillId="3" borderId="0" xfId="0" applyNumberFormat="1" applyFill="1"/>
    <xf numFmtId="49" fontId="0" fillId="0" borderId="0" xfId="0" applyNumberFormat="1"/>
    <xf numFmtId="0" fontId="5" fillId="2" borderId="1" xfId="3" applyFont="1" applyFill="1" applyBorder="1" applyAlignment="1" applyProtection="1">
      <alignment horizontal="center" vertical="center" wrapText="1"/>
      <protection locked="0"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" fontId="5" fillId="2" borderId="1" xfId="3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1" xfId="0" applyFont="1" applyBorder="1"/>
    <xf numFmtId="0" fontId="6" fillId="2" borderId="1" xfId="0" applyFont="1" applyFill="1" applyBorder="1"/>
    <xf numFmtId="0" fontId="7" fillId="0" borderId="1" xfId="0" applyFont="1" applyBorder="1"/>
    <xf numFmtId="0" fontId="7" fillId="2" borderId="1" xfId="0" applyFont="1" applyFill="1" applyBorder="1"/>
    <xf numFmtId="0" fontId="8" fillId="0" borderId="0" xfId="0" applyFont="1"/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vertical="center"/>
    </xf>
    <xf numFmtId="0" fontId="6" fillId="0" borderId="0" xfId="0" applyFont="1"/>
    <xf numFmtId="0" fontId="9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166" fontId="0" fillId="0" borderId="0" xfId="0" applyNumberFormat="1"/>
    <xf numFmtId="0" fontId="7" fillId="0" borderId="0" xfId="0" applyFont="1"/>
    <xf numFmtId="166" fontId="0" fillId="2" borderId="0" xfId="0" applyNumberFormat="1" applyFill="1"/>
    <xf numFmtId="0" fontId="7" fillId="2" borderId="0" xfId="0" applyFont="1" applyFill="1"/>
    <xf numFmtId="1" fontId="4" fillId="2" borderId="0" xfId="0" applyNumberFormat="1" applyFont="1" applyFill="1"/>
    <xf numFmtId="0" fontId="10" fillId="0" borderId="0" xfId="0" applyFont="1"/>
    <xf numFmtId="15" fontId="0" fillId="0" borderId="0" xfId="0" applyNumberFormat="1"/>
    <xf numFmtId="1" fontId="5" fillId="2" borderId="1" xfId="0" applyNumberFormat="1" applyFont="1" applyFill="1" applyBorder="1" applyAlignment="1" applyProtection="1">
      <alignment horizontal="center" vertical="center"/>
      <protection hidden="1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1" fillId="0" borderId="1" xfId="0" applyFont="1" applyBorder="1"/>
    <xf numFmtId="0" fontId="12" fillId="0" borderId="0" xfId="0" applyFont="1"/>
    <xf numFmtId="0" fontId="11" fillId="2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1" xfId="3" applyFont="1" applyFill="1" applyBorder="1" applyAlignment="1" applyProtection="1">
      <alignment horizontal="center" vertical="center"/>
      <protection locked="0" hidden="1"/>
    </xf>
    <xf numFmtId="1" fontId="5" fillId="2" borderId="1" xfId="3" applyNumberFormat="1" applyFont="1" applyFill="1" applyBorder="1" applyAlignment="1" applyProtection="1">
      <alignment horizontal="center" vertical="center"/>
      <protection locked="0" hidden="1"/>
    </xf>
    <xf numFmtId="0" fontId="12" fillId="0" borderId="1" xfId="0" applyFont="1" applyBorder="1"/>
    <xf numFmtId="0" fontId="0" fillId="0" borderId="0" xfId="0" applyAlignment="1">
      <alignment vertical="center"/>
    </xf>
    <xf numFmtId="0" fontId="13" fillId="0" borderId="7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49" fontId="13" fillId="0" borderId="7" xfId="0" applyNumberFormat="1" applyFont="1" applyBorder="1" applyAlignment="1">
      <alignment vertical="center"/>
    </xf>
    <xf numFmtId="0" fontId="14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6" fillId="5" borderId="3" xfId="0" applyFont="1" applyFill="1" applyBorder="1" applyAlignment="1">
      <alignment horizontal="left" vertical="center"/>
    </xf>
    <xf numFmtId="0" fontId="16" fillId="0" borderId="0" xfId="0" applyFont="1"/>
    <xf numFmtId="0" fontId="16" fillId="7" borderId="3" xfId="0" applyFont="1" applyFill="1" applyBorder="1" applyAlignment="1">
      <alignment horizontal="left" vertical="center"/>
    </xf>
    <xf numFmtId="0" fontId="16" fillId="5" borderId="3" xfId="0" applyFont="1" applyFill="1" applyBorder="1" applyAlignment="1">
      <alignment horizontal="left"/>
    </xf>
    <xf numFmtId="165" fontId="16" fillId="5" borderId="3" xfId="0" applyNumberFormat="1" applyFont="1" applyFill="1" applyBorder="1" applyAlignment="1">
      <alignment horizontal="left"/>
    </xf>
    <xf numFmtId="0" fontId="16" fillId="5" borderId="11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left"/>
    </xf>
    <xf numFmtId="165" fontId="16" fillId="7" borderId="3" xfId="0" applyNumberFormat="1" applyFont="1" applyFill="1" applyBorder="1" applyAlignment="1">
      <alignment horizontal="left"/>
    </xf>
    <xf numFmtId="0" fontId="16" fillId="7" borderId="11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17" fillId="6" borderId="7" xfId="0" applyFont="1" applyFill="1" applyBorder="1" applyAlignment="1">
      <alignment vertical="center" textRotation="180" wrapText="1"/>
    </xf>
    <xf numFmtId="0" fontId="17" fillId="6" borderId="12" xfId="0" applyFont="1" applyFill="1" applyBorder="1" applyAlignment="1">
      <alignment vertical="center" textRotation="180" wrapText="1"/>
    </xf>
    <xf numFmtId="0" fontId="17" fillId="6" borderId="13" xfId="0" applyFont="1" applyFill="1" applyBorder="1" applyAlignment="1">
      <alignment vertical="center" textRotation="180" wrapText="1"/>
    </xf>
    <xf numFmtId="167" fontId="16" fillId="0" borderId="3" xfId="1" applyNumberFormat="1" applyFont="1" applyBorder="1" applyAlignment="1">
      <alignment horizontal="center"/>
    </xf>
    <xf numFmtId="167" fontId="0" fillId="0" borderId="0" xfId="1" applyNumberFormat="1" applyFont="1"/>
    <xf numFmtId="167" fontId="16" fillId="6" borderId="3" xfId="1" applyNumberFormat="1" applyFont="1" applyFill="1" applyBorder="1" applyAlignment="1">
      <alignment horizontal="center"/>
    </xf>
    <xf numFmtId="2" fontId="16" fillId="0" borderId="0" xfId="0" applyNumberFormat="1" applyFont="1"/>
    <xf numFmtId="2" fontId="16" fillId="6" borderId="0" xfId="0" applyNumberFormat="1" applyFont="1" applyFill="1"/>
    <xf numFmtId="2" fontId="0" fillId="0" borderId="0" xfId="0" applyNumberFormat="1"/>
    <xf numFmtId="2" fontId="0" fillId="2" borderId="0" xfId="0" applyNumberFormat="1" applyFill="1"/>
    <xf numFmtId="0" fontId="14" fillId="0" borderId="0" xfId="0" applyFont="1"/>
    <xf numFmtId="0" fontId="16" fillId="2" borderId="0" xfId="0" applyFont="1" applyFill="1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19" fillId="2" borderId="1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8" borderId="0" xfId="0" applyFont="1" applyFill="1" applyAlignment="1">
      <alignment vertical="center"/>
    </xf>
    <xf numFmtId="0" fontId="23" fillId="8" borderId="1" xfId="0" applyFont="1" applyFill="1" applyBorder="1" applyAlignment="1">
      <alignment vertical="center"/>
    </xf>
    <xf numFmtId="0" fontId="23" fillId="9" borderId="0" xfId="0" applyFont="1" applyFill="1" applyAlignment="1">
      <alignment vertical="center"/>
    </xf>
    <xf numFmtId="0" fontId="23" fillId="10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5" fillId="11" borderId="0" xfId="0" applyFont="1" applyFill="1" applyAlignment="1">
      <alignment vertical="center"/>
    </xf>
    <xf numFmtId="0" fontId="26" fillId="12" borderId="3" xfId="0" applyFont="1" applyFill="1" applyBorder="1" applyAlignment="1">
      <alignment horizontal="center" vertical="center"/>
    </xf>
    <xf numFmtId="0" fontId="25" fillId="13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9" fillId="14" borderId="1" xfId="0" applyFont="1" applyFill="1" applyBorder="1" applyAlignment="1">
      <alignment vertical="center"/>
    </xf>
    <xf numFmtId="0" fontId="22" fillId="14" borderId="1" xfId="0" applyFont="1" applyFill="1" applyBorder="1" applyAlignment="1">
      <alignment vertical="center"/>
    </xf>
    <xf numFmtId="0" fontId="26" fillId="15" borderId="3" xfId="0" applyFont="1" applyFill="1" applyBorder="1" applyAlignment="1">
      <alignment horizontal="center" vertical="center"/>
    </xf>
    <xf numFmtId="0" fontId="26" fillId="16" borderId="14" xfId="0" applyFont="1" applyFill="1" applyBorder="1" applyAlignment="1">
      <alignment horizontal="left" vertical="center"/>
    </xf>
    <xf numFmtId="0" fontId="26" fillId="16" borderId="15" xfId="0" applyFont="1" applyFill="1" applyBorder="1" applyAlignment="1">
      <alignment horizontal="left" vertical="center"/>
    </xf>
    <xf numFmtId="0" fontId="26" fillId="15" borderId="7" xfId="0" applyFont="1" applyFill="1" applyBorder="1" applyAlignment="1">
      <alignment horizontal="center" vertical="center"/>
    </xf>
    <xf numFmtId="0" fontId="26" fillId="16" borderId="16" xfId="0" applyFont="1" applyFill="1" applyBorder="1" applyAlignment="1">
      <alignment horizontal="left" vertical="center"/>
    </xf>
    <xf numFmtId="0" fontId="26" fillId="15" borderId="3" xfId="0" applyFont="1" applyFill="1" applyBorder="1" applyAlignment="1">
      <alignment horizontal="center"/>
    </xf>
    <xf numFmtId="0" fontId="26" fillId="16" borderId="3" xfId="0" applyFont="1" applyFill="1" applyBorder="1" applyAlignment="1">
      <alignment horizontal="left" vertical="center"/>
    </xf>
    <xf numFmtId="0" fontId="26" fillId="15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/>
    </xf>
    <xf numFmtId="0" fontId="26" fillId="16" borderId="17" xfId="0" applyFont="1" applyFill="1" applyBorder="1" applyAlignment="1">
      <alignment horizontal="left" vertical="center"/>
    </xf>
    <xf numFmtId="0" fontId="26" fillId="15" borderId="0" xfId="0" applyFont="1" applyFill="1" applyAlignment="1">
      <alignment horizontal="center" vertical="center"/>
    </xf>
    <xf numFmtId="0" fontId="26" fillId="17" borderId="3" xfId="0" applyFont="1" applyFill="1" applyBorder="1" applyAlignment="1">
      <alignment horizontal="center" vertical="center"/>
    </xf>
    <xf numFmtId="0" fontId="23" fillId="17" borderId="3" xfId="0" applyFont="1" applyFill="1" applyBorder="1" applyAlignment="1">
      <alignment horizontal="center" vertical="center"/>
    </xf>
    <xf numFmtId="0" fontId="23" fillId="17" borderId="3" xfId="0" applyFont="1" applyFill="1" applyBorder="1" applyAlignment="1">
      <alignment horizontal="center"/>
    </xf>
    <xf numFmtId="0" fontId="26" fillId="17" borderId="15" xfId="0" applyFont="1" applyFill="1" applyBorder="1" applyAlignment="1">
      <alignment horizontal="left" vertical="center"/>
    </xf>
    <xf numFmtId="0" fontId="26" fillId="17" borderId="16" xfId="0" applyFont="1" applyFill="1" applyBorder="1" applyAlignment="1">
      <alignment horizontal="left" vertical="center"/>
    </xf>
    <xf numFmtId="0" fontId="26" fillId="17" borderId="14" xfId="0" applyFont="1" applyFill="1" applyBorder="1" applyAlignment="1">
      <alignment horizontal="left" vertical="center"/>
    </xf>
    <xf numFmtId="0" fontId="23" fillId="8" borderId="18" xfId="0" applyFont="1" applyFill="1" applyBorder="1" applyAlignment="1">
      <alignment vertical="center" wrapText="1" readingOrder="1"/>
    </xf>
    <xf numFmtId="168" fontId="26" fillId="15" borderId="2" xfId="0" applyNumberFormat="1" applyFont="1" applyFill="1" applyBorder="1" applyAlignment="1">
      <alignment horizontal="center" vertical="center"/>
    </xf>
    <xf numFmtId="0" fontId="23" fillId="8" borderId="19" xfId="0" applyFont="1" applyFill="1" applyBorder="1" applyAlignment="1">
      <alignment vertical="center" wrapText="1" readingOrder="1"/>
    </xf>
    <xf numFmtId="15" fontId="26" fillId="15" borderId="3" xfId="0" applyNumberFormat="1" applyFont="1" applyFill="1" applyBorder="1" applyAlignment="1">
      <alignment horizontal="left" vertical="top"/>
    </xf>
    <xf numFmtId="0" fontId="26" fillId="15" borderId="7" xfId="0" applyFont="1" applyFill="1" applyBorder="1" applyAlignment="1">
      <alignment horizontal="center"/>
    </xf>
    <xf numFmtId="0" fontId="23" fillId="8" borderId="20" xfId="0" applyFont="1" applyFill="1" applyBorder="1" applyAlignment="1">
      <alignment vertical="center" wrapText="1" readingOrder="1"/>
    </xf>
    <xf numFmtId="15" fontId="26" fillId="15" borderId="7" xfId="0" applyNumberFormat="1" applyFont="1" applyFill="1" applyBorder="1" applyAlignment="1">
      <alignment horizontal="left" vertical="top" wrapText="1"/>
    </xf>
    <xf numFmtId="168" fontId="26" fillId="15" borderId="8" xfId="0" applyNumberFormat="1" applyFont="1" applyFill="1" applyBorder="1" applyAlignment="1">
      <alignment horizontal="center" vertical="center"/>
    </xf>
    <xf numFmtId="0" fontId="23" fillId="8" borderId="21" xfId="0" applyFont="1" applyFill="1" applyBorder="1" applyAlignment="1">
      <alignment vertical="center" wrapText="1" readingOrder="1"/>
    </xf>
    <xf numFmtId="0" fontId="26" fillId="15" borderId="3" xfId="0" applyFont="1" applyFill="1" applyBorder="1" applyAlignment="1">
      <alignment horizontal="left" vertical="center"/>
    </xf>
    <xf numFmtId="0" fontId="23" fillId="17" borderId="3" xfId="0" applyFont="1" applyFill="1" applyBorder="1" applyAlignment="1">
      <alignment horizontal="center" vertical="center" wrapText="1"/>
    </xf>
    <xf numFmtId="0" fontId="23" fillId="17" borderId="3" xfId="0" applyFont="1" applyFill="1" applyBorder="1" applyAlignment="1">
      <alignment horizontal="left"/>
    </xf>
    <xf numFmtId="168" fontId="23" fillId="17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/>
    </xf>
    <xf numFmtId="0" fontId="23" fillId="17" borderId="2" xfId="0" applyFont="1" applyFill="1" applyBorder="1" applyAlignment="1">
      <alignment horizontal="center" vertical="center" wrapText="1"/>
    </xf>
    <xf numFmtId="165" fontId="23" fillId="17" borderId="3" xfId="0" applyNumberFormat="1" applyFont="1" applyFill="1" applyBorder="1" applyAlignment="1">
      <alignment horizontal="left" vertical="center"/>
    </xf>
    <xf numFmtId="0" fontId="23" fillId="17" borderId="3" xfId="0" applyFont="1" applyFill="1" applyBorder="1" applyAlignment="1">
      <alignment horizontal="left" vertical="center"/>
    </xf>
    <xf numFmtId="0" fontId="23" fillId="17" borderId="7" xfId="0" applyFont="1" applyFill="1" applyBorder="1" applyAlignment="1">
      <alignment horizontal="center" vertical="center" wrapText="1"/>
    </xf>
    <xf numFmtId="0" fontId="26" fillId="16" borderId="14" xfId="0" applyFont="1" applyFill="1" applyBorder="1" applyAlignment="1">
      <alignment vertical="center"/>
    </xf>
    <xf numFmtId="0" fontId="23" fillId="8" borderId="22" xfId="0" applyFont="1" applyFill="1" applyBorder="1" applyAlignment="1">
      <alignment vertical="center" wrapText="1" readingOrder="1"/>
    </xf>
    <xf numFmtId="0" fontId="23" fillId="18" borderId="3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vertical="center"/>
    </xf>
    <xf numFmtId="0" fontId="30" fillId="8" borderId="23" xfId="0" applyFont="1" applyFill="1" applyBorder="1" applyAlignment="1">
      <alignment wrapText="1" readingOrder="1"/>
    </xf>
    <xf numFmtId="0" fontId="23" fillId="8" borderId="23" xfId="0" applyFont="1" applyFill="1" applyBorder="1" applyAlignment="1">
      <alignment wrapText="1" readingOrder="1"/>
    </xf>
    <xf numFmtId="0" fontId="26" fillId="15" borderId="2" xfId="0" applyFont="1" applyFill="1" applyBorder="1" applyAlignment="1">
      <alignment horizontal="left" vertical="center"/>
    </xf>
    <xf numFmtId="0" fontId="26" fillId="16" borderId="16" xfId="0" applyFont="1" applyFill="1" applyBorder="1" applyAlignment="1">
      <alignment vertical="center"/>
    </xf>
    <xf numFmtId="0" fontId="26" fillId="15" borderId="8" xfId="0" applyFont="1" applyFill="1" applyBorder="1" applyAlignment="1">
      <alignment horizontal="left" vertical="center"/>
    </xf>
    <xf numFmtId="0" fontId="26" fillId="16" borderId="3" xfId="0" applyFont="1" applyFill="1" applyBorder="1" applyAlignment="1">
      <alignment vertical="center"/>
    </xf>
    <xf numFmtId="0" fontId="26" fillId="15" borderId="3" xfId="0" applyFont="1" applyFill="1" applyBorder="1" applyAlignment="1">
      <alignment vertical="center"/>
    </xf>
    <xf numFmtId="0" fontId="23" fillId="8" borderId="21" xfId="0" applyFont="1" applyFill="1" applyBorder="1" applyAlignment="1">
      <alignment wrapText="1" readingOrder="1"/>
    </xf>
    <xf numFmtId="0" fontId="23" fillId="8" borderId="23" xfId="0" applyFont="1" applyFill="1" applyBorder="1" applyAlignment="1">
      <alignment vertical="center" wrapText="1" readingOrder="1"/>
    </xf>
    <xf numFmtId="0" fontId="26" fillId="17" borderId="15" xfId="0" applyFont="1" applyFill="1" applyBorder="1" applyAlignment="1">
      <alignment vertical="center" wrapText="1"/>
    </xf>
    <xf numFmtId="0" fontId="23" fillId="17" borderId="3" xfId="0" applyFont="1" applyFill="1" applyBorder="1" applyAlignment="1">
      <alignment wrapText="1"/>
    </xf>
    <xf numFmtId="0" fontId="23" fillId="19" borderId="3" xfId="0" applyFont="1" applyFill="1" applyBorder="1" applyAlignment="1">
      <alignment horizontal="left" wrapText="1"/>
    </xf>
    <xf numFmtId="0" fontId="26" fillId="17" borderId="15" xfId="0" applyFont="1" applyFill="1" applyBorder="1" applyAlignment="1">
      <alignment vertical="center"/>
    </xf>
    <xf numFmtId="0" fontId="23" fillId="17" borderId="3" xfId="0" applyFont="1" applyFill="1" applyBorder="1"/>
    <xf numFmtId="0" fontId="23" fillId="20" borderId="3" xfId="0" applyFont="1" applyFill="1" applyBorder="1" applyAlignment="1">
      <alignment horizontal="left"/>
    </xf>
    <xf numFmtId="0" fontId="23" fillId="17" borderId="3" xfId="0" applyFont="1" applyFill="1" applyBorder="1" applyAlignment="1">
      <alignment vertical="center" wrapText="1"/>
    </xf>
    <xf numFmtId="0" fontId="23" fillId="17" borderId="3" xfId="0" applyFont="1" applyFill="1" applyBorder="1" applyAlignment="1">
      <alignment vertical="top" wrapText="1"/>
    </xf>
    <xf numFmtId="0" fontId="23" fillId="17" borderId="3" xfId="0" applyFont="1" applyFill="1" applyBorder="1" applyAlignment="1">
      <alignment horizontal="left" vertical="top" wrapText="1"/>
    </xf>
    <xf numFmtId="0" fontId="23" fillId="17" borderId="7" xfId="0" applyFont="1" applyFill="1" applyBorder="1" applyAlignment="1">
      <alignment vertical="center" wrapText="1"/>
    </xf>
    <xf numFmtId="0" fontId="26" fillId="17" borderId="15" xfId="0" applyFont="1" applyFill="1" applyBorder="1" applyAlignment="1">
      <alignment horizontal="left" vertical="center" wrapText="1"/>
    </xf>
    <xf numFmtId="0" fontId="26" fillId="17" borderId="27" xfId="0" applyFont="1" applyFill="1" applyBorder="1" applyAlignment="1">
      <alignment horizontal="left" vertical="center"/>
    </xf>
    <xf numFmtId="0" fontId="26" fillId="21" borderId="3" xfId="0" applyFont="1" applyFill="1" applyBorder="1" applyAlignment="1">
      <alignment horizontal="center" vertical="center"/>
    </xf>
    <xf numFmtId="0" fontId="26" fillId="21" borderId="3" xfId="0" applyFont="1" applyFill="1" applyBorder="1" applyAlignment="1">
      <alignment horizontal="center"/>
    </xf>
    <xf numFmtId="0" fontId="26" fillId="21" borderId="14" xfId="0" applyFont="1" applyFill="1" applyBorder="1" applyAlignment="1">
      <alignment horizontal="left" vertical="center"/>
    </xf>
    <xf numFmtId="0" fontId="26" fillId="21" borderId="15" xfId="0" applyFont="1" applyFill="1" applyBorder="1" applyAlignment="1">
      <alignment horizontal="left" vertical="center"/>
    </xf>
    <xf numFmtId="0" fontId="26" fillId="21" borderId="16" xfId="0" applyFont="1" applyFill="1" applyBorder="1" applyAlignment="1">
      <alignment horizontal="left" vertical="center"/>
    </xf>
    <xf numFmtId="0" fontId="26" fillId="21" borderId="15" xfId="0" applyFont="1" applyFill="1" applyBorder="1" applyAlignment="1">
      <alignment horizontal="left" vertical="center" wrapText="1"/>
    </xf>
    <xf numFmtId="0" fontId="31" fillId="22" borderId="3" xfId="0" applyFont="1" applyFill="1" applyBorder="1" applyAlignment="1">
      <alignment vertical="center"/>
    </xf>
    <xf numFmtId="0" fontId="32" fillId="22" borderId="0" xfId="0" applyFont="1" applyFill="1"/>
    <xf numFmtId="0" fontId="32" fillId="22" borderId="0" xfId="0" applyFont="1" applyFill="1" applyAlignment="1">
      <alignment horizontal="left" vertical="center"/>
    </xf>
    <xf numFmtId="0" fontId="26" fillId="12" borderId="2" xfId="0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/>
    </xf>
    <xf numFmtId="0" fontId="26" fillId="12" borderId="15" xfId="0" applyFont="1" applyFill="1" applyBorder="1" applyAlignment="1">
      <alignment horizontal="left" vertical="center"/>
    </xf>
    <xf numFmtId="0" fontId="26" fillId="12" borderId="3" xfId="0" applyFont="1" applyFill="1" applyBorder="1" applyAlignment="1">
      <alignment horizontal="center"/>
    </xf>
    <xf numFmtId="0" fontId="26" fillId="12" borderId="15" xfId="0" applyFont="1" applyFill="1" applyBorder="1" applyAlignment="1">
      <alignment horizontal="left"/>
    </xf>
    <xf numFmtId="0" fontId="26" fillId="12" borderId="15" xfId="0" applyFont="1" applyFill="1" applyBorder="1" applyAlignment="1">
      <alignment horizontal="left" vertical="center" wrapText="1"/>
    </xf>
    <xf numFmtId="0" fontId="26" fillId="23" borderId="1" xfId="0" applyFont="1" applyFill="1" applyBorder="1" applyAlignment="1">
      <alignment horizontal="center" vertical="center"/>
    </xf>
    <xf numFmtId="0" fontId="26" fillId="23" borderId="1" xfId="0" applyFont="1" applyFill="1" applyBorder="1" applyAlignment="1">
      <alignment horizontal="left" vertical="center"/>
    </xf>
    <xf numFmtId="0" fontId="23" fillId="17" borderId="0" xfId="0" applyFont="1" applyFill="1" applyAlignment="1">
      <alignment horizontal="center" vertical="center" wrapText="1"/>
    </xf>
    <xf numFmtId="165" fontId="23" fillId="17" borderId="7" xfId="0" applyNumberFormat="1" applyFont="1" applyFill="1" applyBorder="1" applyAlignment="1">
      <alignment horizontal="center"/>
    </xf>
    <xf numFmtId="0" fontId="26" fillId="21" borderId="3" xfId="0" applyFont="1" applyFill="1" applyBorder="1" applyAlignment="1">
      <alignment horizontal="center" vertical="center" wrapText="1"/>
    </xf>
    <xf numFmtId="0" fontId="26" fillId="21" borderId="3" xfId="0" applyFont="1" applyFill="1" applyBorder="1" applyAlignment="1">
      <alignment horizontal="left"/>
    </xf>
    <xf numFmtId="168" fontId="26" fillId="21" borderId="2" xfId="0" applyNumberFormat="1" applyFont="1" applyFill="1" applyBorder="1" applyAlignment="1">
      <alignment horizontal="center" vertical="center"/>
    </xf>
    <xf numFmtId="0" fontId="26" fillId="21" borderId="2" xfId="0" applyFont="1" applyFill="1" applyBorder="1" applyAlignment="1">
      <alignment horizontal="center"/>
    </xf>
    <xf numFmtId="0" fontId="26" fillId="21" borderId="2" xfId="0" applyFont="1" applyFill="1" applyBorder="1" applyAlignment="1">
      <alignment horizontal="center" vertical="center" wrapText="1"/>
    </xf>
    <xf numFmtId="165" fontId="26" fillId="21" borderId="3" xfId="0" applyNumberFormat="1" applyFont="1" applyFill="1" applyBorder="1" applyAlignment="1">
      <alignment horizontal="center"/>
    </xf>
    <xf numFmtId="49" fontId="26" fillId="21" borderId="3" xfId="0" applyNumberFormat="1" applyFont="1" applyFill="1" applyBorder="1" applyAlignment="1">
      <alignment horizontal="left"/>
    </xf>
    <xf numFmtId="0" fontId="26" fillId="21" borderId="3" xfId="0" applyFont="1" applyFill="1" applyBorder="1" applyAlignment="1">
      <alignment horizontal="left" vertical="center"/>
    </xf>
    <xf numFmtId="0" fontId="26" fillId="21" borderId="7" xfId="0" applyFont="1" applyFill="1" applyBorder="1" applyAlignment="1">
      <alignment horizontal="center" vertical="center" wrapText="1"/>
    </xf>
    <xf numFmtId="165" fontId="26" fillId="21" borderId="7" xfId="0" applyNumberFormat="1" applyFont="1" applyFill="1" applyBorder="1" applyAlignment="1">
      <alignment horizontal="center"/>
    </xf>
    <xf numFmtId="0" fontId="26" fillId="21" borderId="0" xfId="0" applyFont="1" applyFill="1" applyAlignment="1">
      <alignment horizontal="center" vertical="center" wrapText="1"/>
    </xf>
    <xf numFmtId="0" fontId="32" fillId="22" borderId="0" xfId="0" applyFont="1" applyFill="1" applyAlignment="1">
      <alignment horizontal="left"/>
    </xf>
    <xf numFmtId="0" fontId="26" fillId="12" borderId="2" xfId="0" applyFont="1" applyFill="1" applyBorder="1" applyAlignment="1">
      <alignment horizontal="left"/>
    </xf>
    <xf numFmtId="165" fontId="26" fillId="12" borderId="3" xfId="0" applyNumberFormat="1" applyFont="1" applyFill="1" applyBorder="1" applyAlignment="1">
      <alignment horizontal="left"/>
    </xf>
    <xf numFmtId="168" fontId="26" fillId="12" borderId="2" xfId="0" applyNumberFormat="1" applyFont="1" applyFill="1" applyBorder="1" applyAlignment="1">
      <alignment horizontal="center" vertical="center"/>
    </xf>
    <xf numFmtId="0" fontId="26" fillId="12" borderId="3" xfId="0" applyFont="1" applyFill="1" applyBorder="1" applyAlignment="1">
      <alignment horizontal="left" vertical="center"/>
    </xf>
    <xf numFmtId="165" fontId="26" fillId="12" borderId="3" xfId="0" applyNumberFormat="1" applyFont="1" applyFill="1" applyBorder="1" applyAlignment="1">
      <alignment horizontal="left" vertical="center"/>
    </xf>
    <xf numFmtId="0" fontId="26" fillId="12" borderId="3" xfId="0" applyFont="1" applyFill="1" applyBorder="1" applyAlignment="1">
      <alignment horizontal="left"/>
    </xf>
    <xf numFmtId="165" fontId="26" fillId="12" borderId="3" xfId="0" applyNumberFormat="1" applyFont="1" applyFill="1" applyBorder="1" applyAlignment="1">
      <alignment horizontal="left" wrapText="1"/>
    </xf>
    <xf numFmtId="168" fontId="26" fillId="23" borderId="1" xfId="0" applyNumberFormat="1" applyFont="1" applyFill="1" applyBorder="1" applyAlignment="1">
      <alignment horizontal="center" vertical="center"/>
    </xf>
    <xf numFmtId="0" fontId="26" fillId="21" borderId="15" xfId="0" applyFont="1" applyFill="1" applyBorder="1" applyAlignment="1">
      <alignment vertical="center"/>
    </xf>
    <xf numFmtId="0" fontId="26" fillId="21" borderId="3" xfId="0" applyFont="1" applyFill="1" applyBorder="1" applyAlignment="1">
      <alignment wrapText="1"/>
    </xf>
    <xf numFmtId="0" fontId="26" fillId="21" borderId="3" xfId="0" applyFont="1" applyFill="1" applyBorder="1" applyAlignment="1">
      <alignment horizontal="left" vertical="center" wrapText="1"/>
    </xf>
    <xf numFmtId="0" fontId="23" fillId="24" borderId="3" xfId="0" applyFont="1" applyFill="1" applyBorder="1" applyAlignment="1">
      <alignment horizontal="center" vertical="center"/>
    </xf>
    <xf numFmtId="0" fontId="26" fillId="21" borderId="3" xfId="0" applyFont="1" applyFill="1" applyBorder="1"/>
    <xf numFmtId="0" fontId="26" fillId="21" borderId="3" xfId="0" applyFont="1" applyFill="1" applyBorder="1" applyAlignment="1">
      <alignment horizontal="left" wrapText="1"/>
    </xf>
    <xf numFmtId="0" fontId="26" fillId="21" borderId="15" xfId="0" applyFont="1" applyFill="1" applyBorder="1" applyAlignment="1">
      <alignment vertical="center" wrapText="1"/>
    </xf>
    <xf numFmtId="0" fontId="26" fillId="21" borderId="3" xfId="0" applyFont="1" applyFill="1" applyBorder="1" applyAlignment="1">
      <alignment vertical="top" wrapText="1"/>
    </xf>
    <xf numFmtId="0" fontId="26" fillId="21" borderId="3" xfId="0" applyFont="1" applyFill="1" applyBorder="1" applyAlignment="1">
      <alignment horizontal="left" vertical="top" wrapText="1"/>
    </xf>
    <xf numFmtId="0" fontId="26" fillId="21" borderId="3" xfId="0" applyFont="1" applyFill="1" applyBorder="1" applyAlignment="1">
      <alignment vertical="center" wrapText="1"/>
    </xf>
    <xf numFmtId="0" fontId="26" fillId="21" borderId="16" xfId="0" applyFont="1" applyFill="1" applyBorder="1" applyAlignment="1">
      <alignment vertical="center" wrapText="1"/>
    </xf>
    <xf numFmtId="0" fontId="26" fillId="21" borderId="7" xfId="0" applyFont="1" applyFill="1" applyBorder="1" applyAlignment="1">
      <alignment vertical="center" wrapText="1"/>
    </xf>
    <xf numFmtId="0" fontId="26" fillId="21" borderId="14" xfId="0" applyFont="1" applyFill="1" applyBorder="1" applyAlignment="1">
      <alignment vertical="center"/>
    </xf>
    <xf numFmtId="0" fontId="26" fillId="21" borderId="3" xfId="0" applyFont="1" applyFill="1" applyBorder="1" applyAlignment="1">
      <alignment vertical="center"/>
    </xf>
    <xf numFmtId="0" fontId="32" fillId="22" borderId="0" xfId="0" applyFont="1" applyFill="1" applyAlignment="1">
      <alignment vertical="center"/>
    </xf>
    <xf numFmtId="0" fontId="26" fillId="12" borderId="14" xfId="0" applyFont="1" applyFill="1" applyBorder="1" applyAlignment="1">
      <alignment vertical="center"/>
    </xf>
    <xf numFmtId="0" fontId="26" fillId="12" borderId="28" xfId="0" applyFont="1" applyFill="1" applyBorder="1"/>
    <xf numFmtId="0" fontId="26" fillId="12" borderId="3" xfId="0" applyFont="1" applyFill="1" applyBorder="1" applyAlignment="1">
      <alignment wrapText="1"/>
    </xf>
    <xf numFmtId="0" fontId="26" fillId="12" borderId="15" xfId="0" applyFont="1" applyFill="1" applyBorder="1" applyAlignment="1">
      <alignment vertical="center"/>
    </xf>
    <xf numFmtId="0" fontId="26" fillId="12" borderId="29" xfId="0" applyFont="1" applyFill="1" applyBorder="1"/>
    <xf numFmtId="0" fontId="26" fillId="12" borderId="15" xfId="0" applyFont="1" applyFill="1" applyBorder="1" applyAlignment="1">
      <alignment vertical="center" wrapText="1"/>
    </xf>
    <xf numFmtId="0" fontId="26" fillId="12" borderId="29" xfId="0" applyFont="1" applyFill="1" applyBorder="1" applyAlignment="1">
      <alignment vertical="top" wrapText="1"/>
    </xf>
    <xf numFmtId="0" fontId="26" fillId="12" borderId="3" xfId="0" applyFont="1" applyFill="1" applyBorder="1" applyAlignment="1">
      <alignment horizontal="left" wrapText="1"/>
    </xf>
    <xf numFmtId="0" fontId="26" fillId="12" borderId="29" xfId="0" applyFont="1" applyFill="1" applyBorder="1" applyAlignment="1">
      <alignment vertical="center" wrapText="1"/>
    </xf>
    <xf numFmtId="0" fontId="26" fillId="25" borderId="0" xfId="0" applyFont="1" applyFill="1"/>
    <xf numFmtId="0" fontId="32" fillId="6" borderId="0" xfId="0" applyFont="1" applyFill="1"/>
    <xf numFmtId="0" fontId="26" fillId="26" borderId="3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center"/>
    </xf>
    <xf numFmtId="0" fontId="26" fillId="27" borderId="3" xfId="0" applyFont="1" applyFill="1" applyBorder="1" applyAlignment="1">
      <alignment horizontal="left"/>
    </xf>
    <xf numFmtId="0" fontId="26" fillId="27" borderId="3" xfId="0" applyFont="1" applyFill="1" applyBorder="1" applyAlignment="1">
      <alignment horizontal="left" vertical="center"/>
    </xf>
    <xf numFmtId="0" fontId="26" fillId="27" borderId="8" xfId="0" applyFont="1" applyFill="1" applyBorder="1" applyAlignment="1">
      <alignment horizontal="left"/>
    </xf>
    <xf numFmtId="0" fontId="33" fillId="27" borderId="3" xfId="0" applyFont="1" applyFill="1" applyBorder="1" applyAlignment="1">
      <alignment horizontal="left" vertical="center"/>
    </xf>
    <xf numFmtId="0" fontId="26" fillId="27" borderId="2" xfId="0" applyFont="1" applyFill="1" applyBorder="1" applyAlignment="1">
      <alignment horizontal="left" vertical="center"/>
    </xf>
    <xf numFmtId="0" fontId="26" fillId="27" borderId="2" xfId="0" applyFont="1" applyFill="1" applyBorder="1" applyAlignment="1">
      <alignment horizontal="left"/>
    </xf>
    <xf numFmtId="0" fontId="23" fillId="0" borderId="0" xfId="4" applyFont="1" applyAlignment="1">
      <alignment horizontal="left" vertical="center"/>
    </xf>
    <xf numFmtId="0" fontId="23" fillId="0" borderId="0" xfId="4" applyFont="1" applyAlignment="1">
      <alignment horizontal="center" vertical="center"/>
    </xf>
    <xf numFmtId="0" fontId="23" fillId="0" borderId="0" xfId="0" applyFont="1"/>
    <xf numFmtId="0" fontId="34" fillId="0" borderId="0" xfId="2" applyFont="1" applyAlignment="1">
      <alignment horizontal="center" vertical="center"/>
    </xf>
    <xf numFmtId="0" fontId="23" fillId="0" borderId="0" xfId="4" applyFont="1"/>
    <xf numFmtId="49" fontId="26" fillId="27" borderId="3" xfId="0" applyNumberFormat="1" applyFont="1" applyFill="1" applyBorder="1" applyAlignment="1">
      <alignment horizontal="left"/>
    </xf>
    <xf numFmtId="168" fontId="26" fillId="27" borderId="2" xfId="0" applyNumberFormat="1" applyFont="1" applyFill="1" applyBorder="1" applyAlignment="1">
      <alignment horizontal="center" vertical="center"/>
    </xf>
    <xf numFmtId="0" fontId="26" fillId="27" borderId="7" xfId="0" applyFont="1" applyFill="1" applyBorder="1" applyAlignment="1">
      <alignment horizontal="center"/>
    </xf>
    <xf numFmtId="49" fontId="26" fillId="27" borderId="3" xfId="0" applyNumberFormat="1" applyFont="1" applyFill="1" applyBorder="1" applyAlignment="1">
      <alignment horizontal="left" vertical="center"/>
    </xf>
    <xf numFmtId="0" fontId="26" fillId="27" borderId="15" xfId="0" applyFont="1" applyFill="1" applyBorder="1" applyAlignment="1">
      <alignment vertical="center"/>
    </xf>
    <xf numFmtId="0" fontId="26" fillId="27" borderId="3" xfId="0" applyFont="1" applyFill="1" applyBorder="1"/>
    <xf numFmtId="0" fontId="26" fillId="27" borderId="3" xfId="0" applyFont="1" applyFill="1" applyBorder="1" applyAlignment="1">
      <alignment wrapText="1"/>
    </xf>
    <xf numFmtId="0" fontId="26" fillId="27" borderId="3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left" wrapText="1"/>
    </xf>
    <xf numFmtId="0" fontId="36" fillId="0" borderId="0" xfId="4" applyFont="1" applyAlignment="1">
      <alignment horizontal="center" vertical="center"/>
    </xf>
    <xf numFmtId="0" fontId="37" fillId="0" borderId="0" xfId="0" applyFont="1" applyAlignment="1">
      <alignment vertical="center"/>
    </xf>
    <xf numFmtId="0" fontId="23" fillId="0" borderId="0" xfId="4" applyFont="1" applyAlignment="1">
      <alignment horizontal="left" vertical="center" wrapText="1"/>
    </xf>
    <xf numFmtId="0" fontId="38" fillId="0" borderId="0" xfId="0" applyFont="1" applyAlignment="1">
      <alignment vertical="center"/>
    </xf>
    <xf numFmtId="0" fontId="26" fillId="28" borderId="0" xfId="0" applyFont="1" applyFill="1"/>
    <xf numFmtId="0" fontId="28" fillId="0" borderId="0" xfId="0" quotePrefix="1" applyFont="1" applyAlignment="1">
      <alignment vertical="center"/>
    </xf>
    <xf numFmtId="0" fontId="26" fillId="15" borderId="3" xfId="0" quotePrefix="1" applyFont="1" applyFill="1" applyBorder="1" applyAlignment="1">
      <alignment horizontal="center" vertical="center"/>
    </xf>
    <xf numFmtId="15" fontId="26" fillId="15" borderId="2" xfId="0" quotePrefix="1" applyNumberFormat="1" applyFont="1" applyFill="1" applyBorder="1" applyAlignment="1">
      <alignment horizontal="left" vertical="top"/>
    </xf>
    <xf numFmtId="15" fontId="26" fillId="15" borderId="3" xfId="0" quotePrefix="1" applyNumberFormat="1" applyFont="1" applyFill="1" applyBorder="1" applyAlignment="1">
      <alignment horizontal="left" vertical="top"/>
    </xf>
    <xf numFmtId="15" fontId="26" fillId="15" borderId="3" xfId="0" quotePrefix="1" applyNumberFormat="1" applyFont="1" applyFill="1" applyBorder="1" applyAlignment="1">
      <alignment horizontal="left" vertical="top" wrapText="1"/>
    </xf>
    <xf numFmtId="15" fontId="26" fillId="15" borderId="7" xfId="0" quotePrefix="1" applyNumberFormat="1" applyFont="1" applyFill="1" applyBorder="1" applyAlignment="1">
      <alignment horizontal="left" vertical="top"/>
    </xf>
    <xf numFmtId="15" fontId="26" fillId="15" borderId="7" xfId="0" quotePrefix="1" applyNumberFormat="1" applyFont="1" applyFill="1" applyBorder="1" applyAlignment="1">
      <alignment horizontal="left" vertical="top" wrapText="1"/>
    </xf>
    <xf numFmtId="1" fontId="26" fillId="15" borderId="3" xfId="0" quotePrefix="1" applyNumberFormat="1" applyFont="1" applyFill="1" applyBorder="1" applyAlignment="1">
      <alignment horizontal="center" vertical="center"/>
    </xf>
    <xf numFmtId="0" fontId="23" fillId="17" borderId="3" xfId="0" quotePrefix="1" applyFont="1" applyFill="1" applyBorder="1" applyAlignment="1">
      <alignment horizontal="center"/>
    </xf>
    <xf numFmtId="0" fontId="23" fillId="17" borderId="3" xfId="0" quotePrefix="1" applyFont="1" applyFill="1" applyBorder="1" applyAlignment="1">
      <alignment horizontal="center" vertical="center"/>
    </xf>
    <xf numFmtId="15" fontId="23" fillId="17" borderId="3" xfId="0" quotePrefix="1" applyNumberFormat="1" applyFont="1" applyFill="1" applyBorder="1" applyAlignment="1">
      <alignment horizontal="left"/>
    </xf>
    <xf numFmtId="0" fontId="23" fillId="17" borderId="3" xfId="0" quotePrefix="1" applyFont="1" applyFill="1" applyBorder="1" applyAlignment="1">
      <alignment horizontal="left"/>
    </xf>
    <xf numFmtId="0" fontId="26" fillId="17" borderId="3" xfId="0" quotePrefix="1" applyFont="1" applyFill="1" applyBorder="1" applyAlignment="1">
      <alignment horizontal="center"/>
    </xf>
    <xf numFmtId="0" fontId="23" fillId="17" borderId="7" xfId="0" quotePrefix="1" applyFont="1" applyFill="1" applyBorder="1" applyAlignment="1">
      <alignment horizontal="center" vertical="center"/>
    </xf>
    <xf numFmtId="15" fontId="23" fillId="17" borderId="7" xfId="0" quotePrefix="1" applyNumberFormat="1" applyFont="1" applyFill="1" applyBorder="1" applyAlignment="1">
      <alignment horizontal="left" vertical="center"/>
    </xf>
    <xf numFmtId="49" fontId="23" fillId="17" borderId="3" xfId="0" quotePrefix="1" applyNumberFormat="1" applyFont="1" applyFill="1" applyBorder="1" applyAlignment="1">
      <alignment horizontal="center" vertical="center" wrapText="1"/>
    </xf>
    <xf numFmtId="15" fontId="23" fillId="17" borderId="3" xfId="0" quotePrefix="1" applyNumberFormat="1" applyFont="1" applyFill="1" applyBorder="1" applyAlignment="1">
      <alignment horizontal="left" vertical="center"/>
    </xf>
    <xf numFmtId="0" fontId="26" fillId="21" borderId="3" xfId="0" quotePrefix="1" applyFont="1" applyFill="1" applyBorder="1" applyAlignment="1">
      <alignment horizontal="center"/>
    </xf>
    <xf numFmtId="0" fontId="26" fillId="21" borderId="3" xfId="0" quotePrefix="1" applyFont="1" applyFill="1" applyBorder="1" applyAlignment="1">
      <alignment horizontal="left"/>
    </xf>
    <xf numFmtId="15" fontId="26" fillId="21" borderId="3" xfId="0" quotePrefix="1" applyNumberFormat="1" applyFont="1" applyFill="1" applyBorder="1" applyAlignment="1">
      <alignment horizontal="left"/>
    </xf>
    <xf numFmtId="0" fontId="26" fillId="21" borderId="3" xfId="0" quotePrefix="1" applyFont="1" applyFill="1" applyBorder="1" applyAlignment="1">
      <alignment horizontal="center" vertical="center"/>
    </xf>
    <xf numFmtId="0" fontId="26" fillId="21" borderId="7" xfId="0" quotePrefix="1" applyFont="1" applyFill="1" applyBorder="1" applyAlignment="1">
      <alignment horizontal="center" vertical="center"/>
    </xf>
    <xf numFmtId="15" fontId="26" fillId="21" borderId="7" xfId="0" quotePrefix="1" applyNumberFormat="1" applyFont="1" applyFill="1" applyBorder="1" applyAlignment="1">
      <alignment horizontal="left" vertical="center"/>
    </xf>
    <xf numFmtId="49" fontId="26" fillId="21" borderId="3" xfId="0" quotePrefix="1" applyNumberFormat="1" applyFont="1" applyFill="1" applyBorder="1" applyAlignment="1">
      <alignment horizontal="center" vertical="center" wrapText="1"/>
    </xf>
    <xf numFmtId="0" fontId="26" fillId="21" borderId="3" xfId="0" quotePrefix="1" applyFont="1" applyFill="1" applyBorder="1" applyAlignment="1">
      <alignment horizontal="left" vertical="center"/>
    </xf>
    <xf numFmtId="0" fontId="26" fillId="12" borderId="2" xfId="0" quotePrefix="1" applyFont="1" applyFill="1" applyBorder="1" applyAlignment="1">
      <alignment horizontal="center"/>
    </xf>
    <xf numFmtId="0" fontId="26" fillId="12" borderId="3" xfId="0" quotePrefix="1" applyFont="1" applyFill="1" applyBorder="1" applyAlignment="1">
      <alignment horizontal="center"/>
    </xf>
    <xf numFmtId="165" fontId="26" fillId="12" borderId="3" xfId="0" quotePrefix="1" applyNumberFormat="1" applyFont="1" applyFill="1" applyBorder="1" applyAlignment="1">
      <alignment horizontal="left"/>
    </xf>
    <xf numFmtId="165" fontId="26" fillId="12" borderId="3" xfId="0" quotePrefix="1" applyNumberFormat="1" applyFont="1" applyFill="1" applyBorder="1" applyAlignment="1">
      <alignment horizontal="left" wrapText="1"/>
    </xf>
    <xf numFmtId="49" fontId="26" fillId="12" borderId="3" xfId="0" quotePrefix="1" applyNumberFormat="1" applyFont="1" applyFill="1" applyBorder="1" applyAlignment="1">
      <alignment horizontal="center" vertical="center" wrapText="1"/>
    </xf>
    <xf numFmtId="0" fontId="26" fillId="27" borderId="3" xfId="0" quotePrefix="1" applyFont="1" applyFill="1" applyBorder="1" applyAlignment="1">
      <alignment horizontal="center"/>
    </xf>
    <xf numFmtId="49" fontId="26" fillId="27" borderId="3" xfId="0" quotePrefix="1" applyNumberFormat="1" applyFont="1" applyFill="1" applyBorder="1" applyAlignment="1">
      <alignment horizontal="left"/>
    </xf>
    <xf numFmtId="0" fontId="0" fillId="2" borderId="0" xfId="0" quotePrefix="1" applyFill="1"/>
    <xf numFmtId="0" fontId="6" fillId="2" borderId="1" xfId="0" quotePrefix="1" applyFont="1" applyFill="1" applyBorder="1"/>
    <xf numFmtId="0" fontId="42" fillId="2" borderId="1" xfId="0" applyFont="1" applyFill="1" applyBorder="1"/>
    <xf numFmtId="0" fontId="4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2" fillId="2" borderId="4" xfId="0" applyFont="1" applyFill="1" applyBorder="1"/>
    <xf numFmtId="0" fontId="44" fillId="2" borderId="1" xfId="0" applyFont="1" applyFill="1" applyBorder="1"/>
    <xf numFmtId="0" fontId="42" fillId="0" borderId="0" xfId="0" applyFont="1"/>
    <xf numFmtId="0" fontId="42" fillId="0" borderId="4" xfId="0" applyFont="1" applyBorder="1" applyAlignment="1">
      <alignment vertical="center"/>
    </xf>
    <xf numFmtId="0" fontId="42" fillId="2" borderId="0" xfId="0" applyFont="1" applyFill="1"/>
    <xf numFmtId="0" fontId="3" fillId="2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5" fillId="0" borderId="1" xfId="0" applyFont="1" applyBorder="1"/>
    <xf numFmtId="0" fontId="6" fillId="0" borderId="6" xfId="0" applyFont="1" applyBorder="1"/>
    <xf numFmtId="0" fontId="1" fillId="0" borderId="0" xfId="0" applyFont="1"/>
    <xf numFmtId="0" fontId="46" fillId="0" borderId="1" xfId="0" quotePrefix="1" applyFont="1" applyBorder="1"/>
    <xf numFmtId="0" fontId="47" fillId="0" borderId="1" xfId="0" quotePrefix="1" applyFont="1" applyBorder="1"/>
    <xf numFmtId="0" fontId="0" fillId="0" borderId="9" xfId="0" applyBorder="1"/>
    <xf numFmtId="0" fontId="0" fillId="0" borderId="10" xfId="0" applyBorder="1"/>
    <xf numFmtId="0" fontId="15" fillId="0" borderId="0" xfId="0" applyFont="1" applyAlignment="1">
      <alignment horizontal="center"/>
    </xf>
    <xf numFmtId="0" fontId="0" fillId="0" borderId="3" xfId="0" applyBorder="1"/>
    <xf numFmtId="0" fontId="15" fillId="0" borderId="3" xfId="0" applyFont="1" applyBorder="1" applyAlignment="1">
      <alignment horizontal="center"/>
    </xf>
    <xf numFmtId="0" fontId="16" fillId="0" borderId="10" xfId="0" applyFont="1" applyBorder="1"/>
    <xf numFmtId="0" fontId="15" fillId="6" borderId="0" xfId="0" applyFont="1" applyFill="1" applyAlignment="1">
      <alignment horizontal="center"/>
    </xf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/>
    </xf>
    <xf numFmtId="165" fontId="16" fillId="5" borderId="0" xfId="0" applyNumberFormat="1" applyFont="1" applyFill="1" applyAlignment="1">
      <alignment horizontal="left"/>
    </xf>
    <xf numFmtId="0" fontId="0" fillId="0" borderId="11" xfId="0" applyBorder="1"/>
    <xf numFmtId="0" fontId="16" fillId="5" borderId="0" xfId="0" applyFont="1" applyFill="1" applyAlignment="1">
      <alignment horizontal="center"/>
    </xf>
    <xf numFmtId="167" fontId="16" fillId="0" borderId="0" xfId="1" applyNumberFormat="1" applyFont="1" applyBorder="1" applyAlignment="1">
      <alignment horizontal="center"/>
    </xf>
    <xf numFmtId="167" fontId="0" fillId="0" borderId="3" xfId="1" applyNumberFormat="1" applyFont="1" applyBorder="1"/>
    <xf numFmtId="167" fontId="0" fillId="2" borderId="3" xfId="1" applyNumberFormat="1" applyFont="1" applyFill="1" applyBorder="1"/>
    <xf numFmtId="167" fontId="16" fillId="6" borderId="0" xfId="1" applyNumberFormat="1" applyFont="1" applyFill="1" applyBorder="1" applyAlignment="1">
      <alignment horizontal="center"/>
    </xf>
    <xf numFmtId="2" fontId="16" fillId="6" borderId="0" xfId="0" applyNumberFormat="1" applyFont="1" applyFill="1" applyAlignment="1">
      <alignment horizontal="center"/>
    </xf>
    <xf numFmtId="2" fontId="0" fillId="0" borderId="3" xfId="0" applyNumberFormat="1" applyBorder="1"/>
    <xf numFmtId="0" fontId="47" fillId="2" borderId="1" xfId="0" quotePrefix="1" applyFont="1" applyFill="1" applyBorder="1"/>
    <xf numFmtId="0" fontId="18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48" fillId="0" borderId="0" xfId="0" applyFont="1" applyAlignment="1">
      <alignment wrapText="1"/>
    </xf>
    <xf numFmtId="0" fontId="27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3" xfId="2" xr:uid="{00000000-0005-0000-0000-000031000000}"/>
    <cellStyle name="Normal 3 2" xfId="3" xr:uid="{00000000-0005-0000-0000-000032000000}"/>
    <cellStyle name="Normal 7" xfId="4" xr:uid="{00000000-0005-0000-0000-000033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zoomScale="36" zoomScaleNormal="36" workbookViewId="0">
      <selection activeCell="B15" sqref="B15"/>
    </sheetView>
  </sheetViews>
  <sheetFormatPr defaultColWidth="9.21875" defaultRowHeight="13.8"/>
  <cols>
    <col min="1" max="1" width="11.77734375" style="102" customWidth="1"/>
    <col min="2" max="2" width="19.44140625" style="102" customWidth="1"/>
    <col min="3" max="3" width="24.21875" style="102" customWidth="1"/>
    <col min="4" max="4" width="52.21875" style="102" customWidth="1"/>
    <col min="5" max="5" width="7.21875" style="102" customWidth="1"/>
    <col min="6" max="6" width="18.77734375" style="102" customWidth="1"/>
    <col min="7" max="7" width="36.21875" style="102" customWidth="1"/>
    <col min="8" max="8" width="26.5546875" style="102" customWidth="1"/>
    <col min="9" max="9" width="35.77734375" style="102" customWidth="1"/>
    <col min="10" max="10" width="118.21875" style="102" customWidth="1"/>
    <col min="11" max="11" width="46.5546875" style="102" customWidth="1"/>
    <col min="12" max="12" width="14.44140625" style="102" customWidth="1"/>
    <col min="13" max="14" width="10.5546875" style="102" customWidth="1"/>
    <col min="15" max="15" width="10.77734375" style="102" customWidth="1"/>
    <col min="16" max="16384" width="9.21875" style="102"/>
  </cols>
  <sheetData>
    <row r="1" spans="1:15" s="90" customFormat="1" ht="45" customHeight="1">
      <c r="A1" s="331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</row>
    <row r="2" spans="1:15" s="90" customFormat="1" ht="45" customHeight="1">
      <c r="A2" s="331" t="s">
        <v>1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</row>
    <row r="3" spans="1:15" s="90" customFormat="1" ht="45" customHeight="1"/>
    <row r="4" spans="1:15" s="90" customFormat="1" ht="45" customHeight="1">
      <c r="A4" s="103" t="s">
        <v>2</v>
      </c>
      <c r="B4" s="103"/>
      <c r="C4" s="103"/>
      <c r="D4" s="259" t="s">
        <v>3</v>
      </c>
    </row>
    <row r="5" spans="1:15" s="90" customFormat="1" ht="45" customHeight="1">
      <c r="A5" s="103" t="s">
        <v>4</v>
      </c>
      <c r="B5" s="103"/>
      <c r="C5" s="103"/>
      <c r="D5" s="259" t="s">
        <v>5</v>
      </c>
    </row>
    <row r="6" spans="1:15" s="90" customFormat="1" ht="45" customHeight="1">
      <c r="A6" s="103" t="s">
        <v>6</v>
      </c>
      <c r="B6" s="103"/>
      <c r="C6" s="103"/>
      <c r="D6" s="259" t="s">
        <v>7</v>
      </c>
    </row>
    <row r="7" spans="1:15" s="90" customFormat="1" ht="45" customHeight="1">
      <c r="A7" s="103" t="s">
        <v>8</v>
      </c>
      <c r="B7" s="103"/>
      <c r="C7" s="103"/>
      <c r="D7" s="259" t="s">
        <v>9</v>
      </c>
    </row>
    <row r="8" spans="1:15" s="90" customFormat="1" ht="45" customHeight="1">
      <c r="A8" s="103" t="s">
        <v>10</v>
      </c>
      <c r="B8" s="103"/>
      <c r="C8" s="103"/>
      <c r="D8" s="259" t="s">
        <v>11</v>
      </c>
    </row>
    <row r="9" spans="1:15" s="90" customFormat="1" ht="45" customHeight="1">
      <c r="A9" s="103" t="s">
        <v>12</v>
      </c>
      <c r="B9" s="103"/>
      <c r="C9" s="103"/>
      <c r="D9" s="259" t="s">
        <v>13</v>
      </c>
    </row>
    <row r="10" spans="1:15" s="90" customFormat="1" ht="45" customHeight="1">
      <c r="A10" s="103" t="s">
        <v>14</v>
      </c>
      <c r="B10" s="103"/>
      <c r="C10" s="103"/>
      <c r="D10" s="259" t="s">
        <v>15</v>
      </c>
    </row>
    <row r="11" spans="1:15" ht="45" customHeight="1"/>
    <row r="12" spans="1:15" s="91" customFormat="1" ht="45" customHeight="1">
      <c r="A12" s="332" t="s">
        <v>16</v>
      </c>
      <c r="B12" s="332"/>
      <c r="C12" s="332"/>
      <c r="D12" s="332" t="s">
        <v>17</v>
      </c>
      <c r="E12" s="332" t="s">
        <v>18</v>
      </c>
      <c r="F12" s="336" t="s">
        <v>19</v>
      </c>
      <c r="G12" s="340" t="s">
        <v>20</v>
      </c>
      <c r="H12" s="332" t="s">
        <v>21</v>
      </c>
      <c r="I12" s="336" t="s">
        <v>22</v>
      </c>
      <c r="J12" s="332" t="s">
        <v>23</v>
      </c>
      <c r="K12" s="332" t="s">
        <v>24</v>
      </c>
      <c r="L12" s="332"/>
      <c r="M12" s="333" t="s">
        <v>25</v>
      </c>
      <c r="N12" s="334"/>
      <c r="O12" s="335"/>
    </row>
    <row r="13" spans="1:15" s="91" customFormat="1" ht="45" customHeight="1">
      <c r="A13" s="104" t="s">
        <v>26</v>
      </c>
      <c r="B13" s="104" t="s">
        <v>27</v>
      </c>
      <c r="C13" s="104" t="s">
        <v>28</v>
      </c>
      <c r="D13" s="332"/>
      <c r="E13" s="332"/>
      <c r="F13" s="337"/>
      <c r="G13" s="340"/>
      <c r="H13" s="332"/>
      <c r="I13" s="337"/>
      <c r="J13" s="332"/>
      <c r="K13" s="104" t="s">
        <v>16</v>
      </c>
      <c r="L13" s="104" t="s">
        <v>29</v>
      </c>
      <c r="M13" s="104" t="s">
        <v>30</v>
      </c>
      <c r="N13" s="104" t="s">
        <v>31</v>
      </c>
      <c r="O13" s="104" t="s">
        <v>32</v>
      </c>
    </row>
    <row r="14" spans="1:15" s="92" customFormat="1" ht="45" customHeight="1">
      <c r="A14" s="105" t="s">
        <v>33</v>
      </c>
      <c r="B14" s="105"/>
      <c r="C14" s="105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s="93" customFormat="1" ht="45" customHeight="1">
      <c r="A15" s="107">
        <v>1</v>
      </c>
      <c r="B15" s="107">
        <v>222310001</v>
      </c>
      <c r="C15" s="260" t="s">
        <v>34</v>
      </c>
      <c r="D15" s="108" t="s">
        <v>35</v>
      </c>
      <c r="E15" s="112" t="s">
        <v>36</v>
      </c>
      <c r="F15" s="124" t="s">
        <v>37</v>
      </c>
      <c r="G15" s="261" t="s">
        <v>38</v>
      </c>
      <c r="H15" s="125" t="s">
        <v>39</v>
      </c>
      <c r="I15" s="142" t="s">
        <v>40</v>
      </c>
      <c r="J15" s="133" t="s">
        <v>41</v>
      </c>
      <c r="K15" s="143" t="s">
        <v>42</v>
      </c>
      <c r="L15" s="144">
        <v>2022</v>
      </c>
      <c r="M15" s="144" t="s">
        <v>43</v>
      </c>
      <c r="N15" s="144" t="s">
        <v>44</v>
      </c>
      <c r="O15" s="144" t="s">
        <v>45</v>
      </c>
    </row>
    <row r="16" spans="1:15" s="93" customFormat="1" ht="45" customHeight="1">
      <c r="A16" s="107">
        <v>2</v>
      </c>
      <c r="B16" s="107">
        <v>222310002</v>
      </c>
      <c r="C16" s="107" t="s">
        <v>46</v>
      </c>
      <c r="D16" s="109" t="s">
        <v>47</v>
      </c>
      <c r="E16" s="112" t="s">
        <v>36</v>
      </c>
      <c r="F16" s="126" t="s">
        <v>37</v>
      </c>
      <c r="G16" s="262" t="s">
        <v>48</v>
      </c>
      <c r="H16" s="125" t="s">
        <v>39</v>
      </c>
      <c r="I16" s="145" t="s">
        <v>49</v>
      </c>
      <c r="J16" s="133" t="s">
        <v>50</v>
      </c>
      <c r="K16" s="146" t="s">
        <v>51</v>
      </c>
      <c r="L16" s="144">
        <v>2022</v>
      </c>
      <c r="M16" s="144" t="s">
        <v>43</v>
      </c>
      <c r="N16" s="144" t="s">
        <v>44</v>
      </c>
      <c r="O16" s="144" t="s">
        <v>45</v>
      </c>
    </row>
    <row r="17" spans="1:15" s="93" customFormat="1" ht="45" customHeight="1">
      <c r="A17" s="107">
        <v>3</v>
      </c>
      <c r="B17" s="107">
        <v>222310003</v>
      </c>
      <c r="C17" s="107" t="s">
        <v>52</v>
      </c>
      <c r="D17" s="109" t="s">
        <v>53</v>
      </c>
      <c r="E17" s="112" t="s">
        <v>36</v>
      </c>
      <c r="F17" s="126" t="s">
        <v>37</v>
      </c>
      <c r="G17" s="262" t="s">
        <v>54</v>
      </c>
      <c r="H17" s="125" t="s">
        <v>39</v>
      </c>
      <c r="I17" s="145" t="s">
        <v>55</v>
      </c>
      <c r="J17" s="133" t="s">
        <v>56</v>
      </c>
      <c r="K17" s="147" t="s">
        <v>57</v>
      </c>
      <c r="L17" s="144">
        <v>2022</v>
      </c>
      <c r="M17" s="144" t="s">
        <v>43</v>
      </c>
      <c r="N17" s="144" t="s">
        <v>44</v>
      </c>
      <c r="O17" s="144" t="s">
        <v>45</v>
      </c>
    </row>
    <row r="18" spans="1:15" s="93" customFormat="1" ht="45" customHeight="1">
      <c r="A18" s="107">
        <v>4</v>
      </c>
      <c r="B18" s="107">
        <v>222310004</v>
      </c>
      <c r="C18" s="107" t="s">
        <v>58</v>
      </c>
      <c r="D18" s="109" t="s">
        <v>59</v>
      </c>
      <c r="E18" s="112" t="s">
        <v>36</v>
      </c>
      <c r="F18" s="126" t="s">
        <v>60</v>
      </c>
      <c r="G18" s="262" t="s">
        <v>61</v>
      </c>
      <c r="H18" s="125" t="s">
        <v>39</v>
      </c>
      <c r="I18" s="145" t="s">
        <v>62</v>
      </c>
      <c r="J18" s="148" t="s">
        <v>63</v>
      </c>
      <c r="K18" s="147" t="s">
        <v>64</v>
      </c>
      <c r="L18" s="144">
        <v>2022</v>
      </c>
      <c r="M18" s="144" t="s">
        <v>43</v>
      </c>
      <c r="N18" s="144" t="s">
        <v>44</v>
      </c>
      <c r="O18" s="144" t="s">
        <v>45</v>
      </c>
    </row>
    <row r="19" spans="1:15" s="93" customFormat="1" ht="45" customHeight="1">
      <c r="A19" s="107">
        <v>5</v>
      </c>
      <c r="B19" s="107">
        <v>222310005</v>
      </c>
      <c r="C19" s="107" t="s">
        <v>65</v>
      </c>
      <c r="D19" s="109" t="s">
        <v>66</v>
      </c>
      <c r="E19" s="112" t="s">
        <v>36</v>
      </c>
      <c r="F19" s="126" t="s">
        <v>37</v>
      </c>
      <c r="G19" s="263" t="s">
        <v>67</v>
      </c>
      <c r="H19" s="125" t="s">
        <v>39</v>
      </c>
      <c r="I19" s="145" t="s">
        <v>68</v>
      </c>
      <c r="J19" s="133" t="s">
        <v>69</v>
      </c>
      <c r="K19" s="147" t="s">
        <v>70</v>
      </c>
      <c r="L19" s="144">
        <v>2022</v>
      </c>
      <c r="M19" s="144" t="s">
        <v>43</v>
      </c>
      <c r="N19" s="144" t="s">
        <v>44</v>
      </c>
      <c r="O19" s="144" t="s">
        <v>45</v>
      </c>
    </row>
    <row r="20" spans="1:15" s="93" customFormat="1" ht="45" customHeight="1">
      <c r="A20" s="107">
        <v>6</v>
      </c>
      <c r="B20" s="107">
        <v>222310006</v>
      </c>
      <c r="C20" s="107" t="s">
        <v>71</v>
      </c>
      <c r="D20" s="109" t="s">
        <v>72</v>
      </c>
      <c r="E20" s="112" t="s">
        <v>36</v>
      </c>
      <c r="F20" s="126" t="s">
        <v>37</v>
      </c>
      <c r="G20" s="263" t="s">
        <v>67</v>
      </c>
      <c r="H20" s="125" t="s">
        <v>39</v>
      </c>
      <c r="I20" s="145" t="s">
        <v>68</v>
      </c>
      <c r="J20" s="133" t="s">
        <v>69</v>
      </c>
      <c r="K20" s="147" t="s">
        <v>73</v>
      </c>
      <c r="L20" s="144">
        <v>2022</v>
      </c>
      <c r="M20" s="144" t="s">
        <v>43</v>
      </c>
      <c r="N20" s="144" t="s">
        <v>44</v>
      </c>
      <c r="O20" s="144" t="s">
        <v>45</v>
      </c>
    </row>
    <row r="21" spans="1:15" s="93" customFormat="1" ht="45" customHeight="1">
      <c r="A21" s="107">
        <v>7</v>
      </c>
      <c r="B21" s="107">
        <v>222310007</v>
      </c>
      <c r="C21" s="107" t="s">
        <v>74</v>
      </c>
      <c r="D21" s="109" t="s">
        <v>75</v>
      </c>
      <c r="E21" s="112" t="s">
        <v>36</v>
      </c>
      <c r="F21" s="126" t="s">
        <v>37</v>
      </c>
      <c r="G21" s="262" t="s">
        <v>76</v>
      </c>
      <c r="H21" s="125" t="s">
        <v>39</v>
      </c>
      <c r="I21" s="145" t="s">
        <v>77</v>
      </c>
      <c r="J21" s="133" t="s">
        <v>78</v>
      </c>
      <c r="K21" s="147" t="s">
        <v>79</v>
      </c>
      <c r="L21" s="144">
        <v>2022</v>
      </c>
      <c r="M21" s="144" t="s">
        <v>43</v>
      </c>
      <c r="N21" s="144" t="s">
        <v>44</v>
      </c>
      <c r="O21" s="144" t="s">
        <v>45</v>
      </c>
    </row>
    <row r="22" spans="1:15" s="94" customFormat="1" ht="45" customHeight="1">
      <c r="A22" s="107">
        <v>8</v>
      </c>
      <c r="B22" s="107">
        <v>222310008</v>
      </c>
      <c r="C22" s="107" t="s">
        <v>80</v>
      </c>
      <c r="D22" s="109" t="s">
        <v>81</v>
      </c>
      <c r="E22" s="112" t="s">
        <v>36</v>
      </c>
      <c r="F22" s="126" t="s">
        <v>37</v>
      </c>
      <c r="G22" s="262" t="s">
        <v>82</v>
      </c>
      <c r="H22" s="125" t="s">
        <v>39</v>
      </c>
      <c r="I22" s="145" t="s">
        <v>83</v>
      </c>
      <c r="J22" s="133" t="s">
        <v>84</v>
      </c>
      <c r="K22" s="147" t="s">
        <v>85</v>
      </c>
      <c r="L22" s="144">
        <v>2022</v>
      </c>
      <c r="M22" s="144" t="s">
        <v>43</v>
      </c>
      <c r="N22" s="144" t="s">
        <v>44</v>
      </c>
      <c r="O22" s="144" t="s">
        <v>45</v>
      </c>
    </row>
    <row r="23" spans="1:15" s="93" customFormat="1" ht="45" customHeight="1">
      <c r="A23" s="107">
        <v>9</v>
      </c>
      <c r="B23" s="107">
        <v>222310009</v>
      </c>
      <c r="C23" s="107" t="s">
        <v>86</v>
      </c>
      <c r="D23" s="109" t="s">
        <v>87</v>
      </c>
      <c r="E23" s="112" t="s">
        <v>36</v>
      </c>
      <c r="F23" s="126" t="s">
        <v>37</v>
      </c>
      <c r="G23" s="262" t="s">
        <v>88</v>
      </c>
      <c r="H23" s="125" t="s">
        <v>39</v>
      </c>
      <c r="I23" s="145" t="s">
        <v>89</v>
      </c>
      <c r="J23" s="133" t="s">
        <v>90</v>
      </c>
      <c r="K23" s="147" t="s">
        <v>91</v>
      </c>
      <c r="L23" s="144">
        <v>2022</v>
      </c>
      <c r="M23" s="144" t="s">
        <v>43</v>
      </c>
      <c r="N23" s="144" t="s">
        <v>44</v>
      </c>
      <c r="O23" s="144" t="s">
        <v>45</v>
      </c>
    </row>
    <row r="24" spans="1:15" s="93" customFormat="1" ht="45" customHeight="1">
      <c r="A24" s="107">
        <v>10</v>
      </c>
      <c r="B24" s="107">
        <v>222310010</v>
      </c>
      <c r="C24" s="107" t="s">
        <v>92</v>
      </c>
      <c r="D24" s="109" t="s">
        <v>93</v>
      </c>
      <c r="E24" s="112" t="s">
        <v>36</v>
      </c>
      <c r="F24" s="126" t="s">
        <v>37</v>
      </c>
      <c r="G24" s="262" t="s">
        <v>94</v>
      </c>
      <c r="H24" s="125" t="s">
        <v>39</v>
      </c>
      <c r="I24" s="145" t="s">
        <v>95</v>
      </c>
      <c r="J24" s="133" t="s">
        <v>96</v>
      </c>
      <c r="K24" s="147" t="s">
        <v>97</v>
      </c>
      <c r="L24" s="144">
        <v>2022</v>
      </c>
      <c r="M24" s="144" t="s">
        <v>43</v>
      </c>
      <c r="N24" s="144" t="s">
        <v>44</v>
      </c>
      <c r="O24" s="144" t="s">
        <v>45</v>
      </c>
    </row>
    <row r="25" spans="1:15" s="93" customFormat="1" ht="45" customHeight="1">
      <c r="A25" s="107">
        <v>11</v>
      </c>
      <c r="B25" s="107">
        <v>222310011</v>
      </c>
      <c r="C25" s="107" t="s">
        <v>98</v>
      </c>
      <c r="D25" s="109" t="s">
        <v>99</v>
      </c>
      <c r="E25" s="112" t="s">
        <v>36</v>
      </c>
      <c r="F25" s="126" t="s">
        <v>37</v>
      </c>
      <c r="G25" s="264" t="s">
        <v>100</v>
      </c>
      <c r="H25" s="125" t="s">
        <v>39</v>
      </c>
      <c r="I25" s="145" t="s">
        <v>101</v>
      </c>
      <c r="J25" s="133" t="s">
        <v>69</v>
      </c>
      <c r="K25" s="147" t="s">
        <v>102</v>
      </c>
      <c r="L25" s="144">
        <v>2022</v>
      </c>
      <c r="M25" s="144" t="s">
        <v>43</v>
      </c>
      <c r="N25" s="144" t="s">
        <v>44</v>
      </c>
      <c r="O25" s="144" t="s">
        <v>45</v>
      </c>
    </row>
    <row r="26" spans="1:15" s="93" customFormat="1" ht="45" customHeight="1">
      <c r="A26" s="107">
        <v>12</v>
      </c>
      <c r="B26" s="107">
        <v>222310012</v>
      </c>
      <c r="C26" s="107" t="s">
        <v>103</v>
      </c>
      <c r="D26" s="109" t="s">
        <v>104</v>
      </c>
      <c r="E26" s="112" t="s">
        <v>36</v>
      </c>
      <c r="F26" s="126" t="s">
        <v>37</v>
      </c>
      <c r="G26" s="262" t="s">
        <v>105</v>
      </c>
      <c r="H26" s="125" t="s">
        <v>39</v>
      </c>
      <c r="I26" s="145" t="s">
        <v>106</v>
      </c>
      <c r="J26" s="133" t="s">
        <v>107</v>
      </c>
      <c r="K26" s="147" t="s">
        <v>108</v>
      </c>
      <c r="L26" s="144">
        <v>2022</v>
      </c>
      <c r="M26" s="144" t="s">
        <v>43</v>
      </c>
      <c r="N26" s="144" t="s">
        <v>44</v>
      </c>
      <c r="O26" s="144" t="s">
        <v>45</v>
      </c>
    </row>
    <row r="27" spans="1:15" s="93" customFormat="1" ht="45" customHeight="1">
      <c r="A27" s="107">
        <v>13</v>
      </c>
      <c r="B27" s="107">
        <v>222310013</v>
      </c>
      <c r="C27" s="107" t="s">
        <v>109</v>
      </c>
      <c r="D27" s="109" t="s">
        <v>110</v>
      </c>
      <c r="E27" s="112" t="s">
        <v>36</v>
      </c>
      <c r="F27" s="126" t="s">
        <v>111</v>
      </c>
      <c r="G27" s="262" t="s">
        <v>112</v>
      </c>
      <c r="H27" s="125" t="s">
        <v>39</v>
      </c>
      <c r="I27" s="145" t="s">
        <v>113</v>
      </c>
      <c r="J27" s="133" t="s">
        <v>114</v>
      </c>
      <c r="K27" s="147" t="s">
        <v>115</v>
      </c>
      <c r="L27" s="144">
        <v>2022</v>
      </c>
      <c r="M27" s="144" t="s">
        <v>43</v>
      </c>
      <c r="N27" s="144" t="s">
        <v>44</v>
      </c>
      <c r="O27" s="144" t="s">
        <v>45</v>
      </c>
    </row>
    <row r="28" spans="1:15" s="93" customFormat="1" ht="45" customHeight="1">
      <c r="A28" s="110">
        <v>14</v>
      </c>
      <c r="B28" s="110">
        <v>222310014</v>
      </c>
      <c r="C28" s="110" t="s">
        <v>116</v>
      </c>
      <c r="D28" s="111" t="s">
        <v>117</v>
      </c>
      <c r="E28" s="128" t="s">
        <v>36</v>
      </c>
      <c r="F28" s="129" t="s">
        <v>37</v>
      </c>
      <c r="G28" s="265" t="s">
        <v>118</v>
      </c>
      <c r="H28" s="131" t="s">
        <v>39</v>
      </c>
      <c r="I28" s="149" t="s">
        <v>119</v>
      </c>
      <c r="J28" s="150" t="s">
        <v>120</v>
      </c>
      <c r="K28" s="147" t="s">
        <v>121</v>
      </c>
      <c r="L28" s="144">
        <v>2022</v>
      </c>
      <c r="M28" s="144" t="s">
        <v>43</v>
      </c>
      <c r="N28" s="144" t="s">
        <v>44</v>
      </c>
      <c r="O28" s="144" t="s">
        <v>45</v>
      </c>
    </row>
    <row r="29" spans="1:15" s="93" customFormat="1" ht="45" customHeight="1">
      <c r="A29" s="107">
        <v>15</v>
      </c>
      <c r="B29" s="112">
        <v>222310141</v>
      </c>
      <c r="C29" s="266" t="s">
        <v>122</v>
      </c>
      <c r="D29" s="113" t="s">
        <v>123</v>
      </c>
      <c r="E29" s="128" t="s">
        <v>36</v>
      </c>
      <c r="F29" s="132" t="s">
        <v>37</v>
      </c>
      <c r="G29" s="133" t="s">
        <v>124</v>
      </c>
      <c r="H29" s="107" t="s">
        <v>39</v>
      </c>
      <c r="I29" s="151" t="s">
        <v>125</v>
      </c>
      <c r="J29" s="152" t="s">
        <v>126</v>
      </c>
      <c r="K29" s="153" t="s">
        <v>127</v>
      </c>
      <c r="L29" s="144">
        <v>2022</v>
      </c>
      <c r="M29" s="144" t="s">
        <v>43</v>
      </c>
      <c r="N29" s="144" t="s">
        <v>44</v>
      </c>
      <c r="O29" s="144" t="s">
        <v>45</v>
      </c>
    </row>
    <row r="30" spans="1:15" s="93" customFormat="1" ht="45" customHeight="1">
      <c r="A30" s="114">
        <v>16</v>
      </c>
      <c r="B30" s="114">
        <v>222310015</v>
      </c>
      <c r="C30" s="114" t="s">
        <v>128</v>
      </c>
      <c r="D30" s="109" t="s">
        <v>129</v>
      </c>
      <c r="E30" s="115" t="s">
        <v>36</v>
      </c>
      <c r="F30" s="126" t="s">
        <v>37</v>
      </c>
      <c r="G30" s="261" t="s">
        <v>130</v>
      </c>
      <c r="H30" s="125" t="s">
        <v>39</v>
      </c>
      <c r="I30" s="145" t="s">
        <v>131</v>
      </c>
      <c r="J30" s="148" t="s">
        <v>132</v>
      </c>
      <c r="K30" s="147" t="s">
        <v>133</v>
      </c>
      <c r="L30" s="144">
        <v>2022</v>
      </c>
      <c r="M30" s="144" t="s">
        <v>43</v>
      </c>
      <c r="N30" s="144" t="s">
        <v>44</v>
      </c>
      <c r="O30" s="144" t="s">
        <v>45</v>
      </c>
    </row>
    <row r="31" spans="1:15" s="93" customFormat="1" ht="45" customHeight="1">
      <c r="A31" s="107">
        <v>17</v>
      </c>
      <c r="B31" s="107">
        <v>222310016</v>
      </c>
      <c r="C31" s="107" t="s">
        <v>134</v>
      </c>
      <c r="D31" s="109" t="s">
        <v>135</v>
      </c>
      <c r="E31" s="112" t="s">
        <v>36</v>
      </c>
      <c r="F31" s="126" t="s">
        <v>136</v>
      </c>
      <c r="G31" s="262" t="s">
        <v>137</v>
      </c>
      <c r="H31" s="125" t="s">
        <v>39</v>
      </c>
      <c r="I31" s="145" t="s">
        <v>138</v>
      </c>
      <c r="J31" s="133" t="s">
        <v>139</v>
      </c>
      <c r="K31" s="147" t="s">
        <v>140</v>
      </c>
      <c r="L31" s="144">
        <v>2022</v>
      </c>
      <c r="M31" s="144" t="s">
        <v>43</v>
      </c>
      <c r="N31" s="144" t="s">
        <v>44</v>
      </c>
      <c r="O31" s="144" t="s">
        <v>45</v>
      </c>
    </row>
    <row r="32" spans="1:15" s="93" customFormat="1" ht="45" customHeight="1">
      <c r="A32" s="107">
        <v>18</v>
      </c>
      <c r="B32" s="107">
        <v>222310017</v>
      </c>
      <c r="C32" s="107" t="s">
        <v>141</v>
      </c>
      <c r="D32" s="109" t="s">
        <v>142</v>
      </c>
      <c r="E32" s="112" t="s">
        <v>36</v>
      </c>
      <c r="F32" s="126" t="s">
        <v>37</v>
      </c>
      <c r="G32" s="262" t="s">
        <v>143</v>
      </c>
      <c r="H32" s="125" t="s">
        <v>39</v>
      </c>
      <c r="I32" s="145" t="s">
        <v>144</v>
      </c>
      <c r="J32" s="133" t="s">
        <v>145</v>
      </c>
      <c r="K32" s="147" t="s">
        <v>146</v>
      </c>
      <c r="L32" s="144">
        <v>2022</v>
      </c>
      <c r="M32" s="144" t="s">
        <v>43</v>
      </c>
      <c r="N32" s="144" t="s">
        <v>44</v>
      </c>
      <c r="O32" s="144" t="s">
        <v>45</v>
      </c>
    </row>
    <row r="33" spans="1:15" s="93" customFormat="1" ht="45" customHeight="1">
      <c r="A33" s="107">
        <v>19</v>
      </c>
      <c r="B33" s="107">
        <v>222310018</v>
      </c>
      <c r="C33" s="107" t="s">
        <v>147</v>
      </c>
      <c r="D33" s="109" t="s">
        <v>148</v>
      </c>
      <c r="E33" s="112" t="s">
        <v>36</v>
      </c>
      <c r="F33" s="126" t="s">
        <v>37</v>
      </c>
      <c r="G33" s="262" t="s">
        <v>149</v>
      </c>
      <c r="H33" s="125" t="s">
        <v>39</v>
      </c>
      <c r="I33" s="145" t="s">
        <v>150</v>
      </c>
      <c r="J33" s="148" t="s">
        <v>90</v>
      </c>
      <c r="K33" s="147" t="s">
        <v>151</v>
      </c>
      <c r="L33" s="144">
        <v>2022</v>
      </c>
      <c r="M33" s="144" t="s">
        <v>43</v>
      </c>
      <c r="N33" s="144" t="s">
        <v>44</v>
      </c>
      <c r="O33" s="144" t="s">
        <v>45</v>
      </c>
    </row>
    <row r="34" spans="1:15" s="93" customFormat="1" ht="45" customHeight="1">
      <c r="A34" s="107">
        <v>20</v>
      </c>
      <c r="B34" s="107">
        <v>222310019</v>
      </c>
      <c r="C34" s="107" t="s">
        <v>152</v>
      </c>
      <c r="D34" s="109" t="s">
        <v>153</v>
      </c>
      <c r="E34" s="112" t="s">
        <v>36</v>
      </c>
      <c r="F34" s="126" t="s">
        <v>37</v>
      </c>
      <c r="G34" s="262" t="s">
        <v>154</v>
      </c>
      <c r="H34" s="125" t="s">
        <v>39</v>
      </c>
      <c r="I34" s="145" t="s">
        <v>155</v>
      </c>
      <c r="J34" s="133" t="s">
        <v>107</v>
      </c>
      <c r="K34" s="147" t="s">
        <v>156</v>
      </c>
      <c r="L34" s="144">
        <v>2022</v>
      </c>
      <c r="M34" s="144" t="s">
        <v>43</v>
      </c>
      <c r="N34" s="144" t="s">
        <v>44</v>
      </c>
      <c r="O34" s="144" t="s">
        <v>45</v>
      </c>
    </row>
    <row r="35" spans="1:15" s="93" customFormat="1" ht="45" customHeight="1">
      <c r="A35" s="107">
        <v>21</v>
      </c>
      <c r="B35" s="107">
        <v>222310020</v>
      </c>
      <c r="C35" s="107" t="s">
        <v>157</v>
      </c>
      <c r="D35" s="109" t="s">
        <v>158</v>
      </c>
      <c r="E35" s="112" t="s">
        <v>36</v>
      </c>
      <c r="F35" s="126" t="s">
        <v>37</v>
      </c>
      <c r="G35" s="262" t="s">
        <v>159</v>
      </c>
      <c r="H35" s="125" t="s">
        <v>39</v>
      </c>
      <c r="I35" s="145" t="s">
        <v>160</v>
      </c>
      <c r="J35" s="133" t="s">
        <v>161</v>
      </c>
      <c r="K35" s="147" t="s">
        <v>162</v>
      </c>
      <c r="L35" s="144">
        <v>2022</v>
      </c>
      <c r="M35" s="144" t="s">
        <v>43</v>
      </c>
      <c r="N35" s="144" t="s">
        <v>44</v>
      </c>
      <c r="O35" s="144" t="s">
        <v>45</v>
      </c>
    </row>
    <row r="36" spans="1:15" s="93" customFormat="1" ht="45" customHeight="1">
      <c r="A36" s="107">
        <v>22</v>
      </c>
      <c r="B36" s="107">
        <v>222310021</v>
      </c>
      <c r="C36" s="107" t="s">
        <v>163</v>
      </c>
      <c r="D36" s="109" t="s">
        <v>164</v>
      </c>
      <c r="E36" s="112" t="s">
        <v>36</v>
      </c>
      <c r="F36" s="126" t="s">
        <v>37</v>
      </c>
      <c r="G36" s="264" t="s">
        <v>165</v>
      </c>
      <c r="H36" s="125" t="s">
        <v>39</v>
      </c>
      <c r="I36" s="145" t="s">
        <v>166</v>
      </c>
      <c r="J36" s="133" t="s">
        <v>167</v>
      </c>
      <c r="K36" s="147" t="s">
        <v>168</v>
      </c>
      <c r="L36" s="144">
        <v>2022</v>
      </c>
      <c r="M36" s="144" t="s">
        <v>43</v>
      </c>
      <c r="N36" s="144" t="s">
        <v>44</v>
      </c>
      <c r="O36" s="144" t="s">
        <v>45</v>
      </c>
    </row>
    <row r="37" spans="1:15" s="93" customFormat="1" ht="45" customHeight="1">
      <c r="A37" s="107">
        <v>23</v>
      </c>
      <c r="B37" s="107">
        <v>222310022</v>
      </c>
      <c r="C37" s="107" t="s">
        <v>169</v>
      </c>
      <c r="D37" s="109" t="s">
        <v>170</v>
      </c>
      <c r="E37" s="112" t="s">
        <v>36</v>
      </c>
      <c r="F37" s="126" t="s">
        <v>37</v>
      </c>
      <c r="G37" s="262" t="s">
        <v>171</v>
      </c>
      <c r="H37" s="125" t="s">
        <v>39</v>
      </c>
      <c r="I37" s="145" t="s">
        <v>172</v>
      </c>
      <c r="J37" s="133" t="s">
        <v>173</v>
      </c>
      <c r="K37" s="147" t="s">
        <v>174</v>
      </c>
      <c r="L37" s="144">
        <v>2022</v>
      </c>
      <c r="M37" s="144" t="s">
        <v>43</v>
      </c>
      <c r="N37" s="144" t="s">
        <v>44</v>
      </c>
      <c r="O37" s="144" t="s">
        <v>45</v>
      </c>
    </row>
    <row r="38" spans="1:15" s="93" customFormat="1" ht="45" customHeight="1">
      <c r="A38" s="107">
        <v>24</v>
      </c>
      <c r="B38" s="107">
        <v>222310023</v>
      </c>
      <c r="C38" s="107" t="s">
        <v>175</v>
      </c>
      <c r="D38" s="109" t="s">
        <v>176</v>
      </c>
      <c r="E38" s="112" t="s">
        <v>36</v>
      </c>
      <c r="F38" s="126" t="s">
        <v>37</v>
      </c>
      <c r="G38" s="262" t="s">
        <v>177</v>
      </c>
      <c r="H38" s="125" t="s">
        <v>39</v>
      </c>
      <c r="I38" s="145" t="s">
        <v>178</v>
      </c>
      <c r="J38" s="133" t="s">
        <v>50</v>
      </c>
      <c r="K38" s="147" t="s">
        <v>179</v>
      </c>
      <c r="L38" s="144">
        <v>2022</v>
      </c>
      <c r="M38" s="144" t="s">
        <v>43</v>
      </c>
      <c r="N38" s="144" t="s">
        <v>44</v>
      </c>
      <c r="O38" s="144" t="s">
        <v>45</v>
      </c>
    </row>
    <row r="39" spans="1:15" s="93" customFormat="1" ht="45" customHeight="1">
      <c r="A39" s="107">
        <v>25</v>
      </c>
      <c r="B39" s="115">
        <v>222310147</v>
      </c>
      <c r="C39" s="266" t="s">
        <v>180</v>
      </c>
      <c r="D39" s="116" t="s">
        <v>181</v>
      </c>
      <c r="E39" s="112"/>
      <c r="F39" s="126" t="s">
        <v>37</v>
      </c>
      <c r="G39" s="127" t="s">
        <v>182</v>
      </c>
      <c r="H39" s="125" t="s">
        <v>39</v>
      </c>
      <c r="I39" s="145" t="s">
        <v>183</v>
      </c>
      <c r="J39" s="133" t="s">
        <v>184</v>
      </c>
      <c r="K39" s="147" t="s">
        <v>185</v>
      </c>
      <c r="L39" s="144">
        <v>2022</v>
      </c>
      <c r="M39" s="144" t="s">
        <v>43</v>
      </c>
      <c r="N39" s="144" t="s">
        <v>44</v>
      </c>
      <c r="O39" s="144" t="s">
        <v>45</v>
      </c>
    </row>
    <row r="40" spans="1:15" s="93" customFormat="1" ht="45" customHeight="1">
      <c r="A40" s="107">
        <v>26</v>
      </c>
      <c r="B40" s="107">
        <v>222310024</v>
      </c>
      <c r="C40" s="107" t="s">
        <v>186</v>
      </c>
      <c r="D40" s="109" t="s">
        <v>187</v>
      </c>
      <c r="E40" s="112" t="s">
        <v>36</v>
      </c>
      <c r="F40" s="126" t="s">
        <v>37</v>
      </c>
      <c r="G40" s="262" t="s">
        <v>188</v>
      </c>
      <c r="H40" s="125" t="s">
        <v>39</v>
      </c>
      <c r="I40" s="145" t="s">
        <v>189</v>
      </c>
      <c r="J40" s="133" t="s">
        <v>50</v>
      </c>
      <c r="K40" s="147" t="s">
        <v>190</v>
      </c>
      <c r="L40" s="144">
        <v>2022</v>
      </c>
      <c r="M40" s="144" t="s">
        <v>43</v>
      </c>
      <c r="N40" s="144" t="s">
        <v>44</v>
      </c>
      <c r="O40" s="144" t="s">
        <v>45</v>
      </c>
    </row>
    <row r="41" spans="1:15" s="93" customFormat="1" ht="45" customHeight="1">
      <c r="A41" s="107">
        <v>27</v>
      </c>
      <c r="B41" s="107">
        <v>222310025</v>
      </c>
      <c r="C41" s="117" t="s">
        <v>191</v>
      </c>
      <c r="D41" s="109" t="s">
        <v>192</v>
      </c>
      <c r="E41" s="112" t="s">
        <v>36</v>
      </c>
      <c r="F41" s="126" t="s">
        <v>193</v>
      </c>
      <c r="G41" s="130" t="s">
        <v>194</v>
      </c>
      <c r="H41" s="125" t="s">
        <v>39</v>
      </c>
      <c r="I41" s="145" t="s">
        <v>195</v>
      </c>
      <c r="J41" s="133" t="s">
        <v>196</v>
      </c>
      <c r="K41" s="147" t="s">
        <v>197</v>
      </c>
      <c r="L41" s="144">
        <v>2022</v>
      </c>
      <c r="M41" s="144" t="s">
        <v>43</v>
      </c>
      <c r="N41" s="144" t="s">
        <v>44</v>
      </c>
      <c r="O41" s="144" t="s">
        <v>45</v>
      </c>
    </row>
    <row r="42" spans="1:15" s="93" customFormat="1" ht="45" customHeight="1">
      <c r="A42" s="107">
        <v>28</v>
      </c>
      <c r="B42" s="107">
        <v>222310026</v>
      </c>
      <c r="C42" s="260" t="s">
        <v>198</v>
      </c>
      <c r="D42" s="109" t="s">
        <v>199</v>
      </c>
      <c r="E42" s="112" t="s">
        <v>36</v>
      </c>
      <c r="F42" s="126" t="s">
        <v>200</v>
      </c>
      <c r="G42" s="262" t="s">
        <v>201</v>
      </c>
      <c r="H42" s="125" t="s">
        <v>39</v>
      </c>
      <c r="I42" s="145" t="s">
        <v>202</v>
      </c>
      <c r="J42" s="148" t="s">
        <v>203</v>
      </c>
      <c r="K42" s="147" t="s">
        <v>204</v>
      </c>
      <c r="L42" s="144">
        <v>2022</v>
      </c>
      <c r="M42" s="144" t="s">
        <v>43</v>
      </c>
      <c r="N42" s="144" t="s">
        <v>44</v>
      </c>
      <c r="O42" s="144" t="s">
        <v>45</v>
      </c>
    </row>
    <row r="43" spans="1:15" s="93" customFormat="1" ht="45" customHeight="1">
      <c r="A43" s="107">
        <v>29</v>
      </c>
      <c r="B43" s="107">
        <v>222310027</v>
      </c>
      <c r="C43" s="107" t="s">
        <v>205</v>
      </c>
      <c r="D43" s="109" t="s">
        <v>206</v>
      </c>
      <c r="E43" s="112" t="s">
        <v>36</v>
      </c>
      <c r="F43" s="126" t="s">
        <v>37</v>
      </c>
      <c r="G43" s="264" t="s">
        <v>159</v>
      </c>
      <c r="H43" s="125" t="s">
        <v>39</v>
      </c>
      <c r="I43" s="145" t="s">
        <v>207</v>
      </c>
      <c r="J43" s="133" t="s">
        <v>208</v>
      </c>
      <c r="K43" s="147" t="s">
        <v>209</v>
      </c>
      <c r="L43" s="144">
        <v>2022</v>
      </c>
      <c r="M43" s="144" t="s">
        <v>43</v>
      </c>
      <c r="N43" s="144" t="s">
        <v>44</v>
      </c>
      <c r="O43" s="144" t="s">
        <v>45</v>
      </c>
    </row>
    <row r="44" spans="1:15" s="93" customFormat="1" ht="45" customHeight="1">
      <c r="A44" s="107">
        <v>30</v>
      </c>
      <c r="B44" s="107">
        <v>222310028</v>
      </c>
      <c r="C44" s="107" t="s">
        <v>210</v>
      </c>
      <c r="D44" s="109" t="s">
        <v>211</v>
      </c>
      <c r="E44" s="112" t="s">
        <v>36</v>
      </c>
      <c r="F44" s="126" t="s">
        <v>37</v>
      </c>
      <c r="G44" s="262" t="s">
        <v>212</v>
      </c>
      <c r="H44" s="125" t="s">
        <v>39</v>
      </c>
      <c r="I44" s="145" t="s">
        <v>213</v>
      </c>
      <c r="J44" s="133" t="s">
        <v>214</v>
      </c>
      <c r="K44" s="147" t="s">
        <v>215</v>
      </c>
      <c r="L44" s="144">
        <v>2022</v>
      </c>
      <c r="M44" s="144" t="s">
        <v>43</v>
      </c>
      <c r="N44" s="144" t="s">
        <v>44</v>
      </c>
      <c r="O44" s="144" t="s">
        <v>45</v>
      </c>
    </row>
    <row r="45" spans="1:15" s="93" customFormat="1" ht="45" customHeight="1">
      <c r="A45" s="107">
        <v>31</v>
      </c>
      <c r="B45" s="107">
        <v>222310029</v>
      </c>
      <c r="C45" s="107" t="s">
        <v>216</v>
      </c>
      <c r="D45" s="109" t="s">
        <v>217</v>
      </c>
      <c r="E45" s="112" t="s">
        <v>36</v>
      </c>
      <c r="F45" s="126" t="s">
        <v>37</v>
      </c>
      <c r="G45" s="262" t="s">
        <v>218</v>
      </c>
      <c r="H45" s="125" t="s">
        <v>39</v>
      </c>
      <c r="I45" s="145" t="s">
        <v>219</v>
      </c>
      <c r="J45" s="133" t="s">
        <v>220</v>
      </c>
      <c r="K45" s="147" t="s">
        <v>221</v>
      </c>
      <c r="L45" s="144">
        <v>2022</v>
      </c>
      <c r="M45" s="144" t="s">
        <v>43</v>
      </c>
      <c r="N45" s="144" t="s">
        <v>44</v>
      </c>
      <c r="O45" s="144" t="s">
        <v>45</v>
      </c>
    </row>
    <row r="46" spans="1:15" s="93" customFormat="1" ht="45" customHeight="1">
      <c r="A46" s="107">
        <v>32</v>
      </c>
      <c r="B46" s="107">
        <v>242512086</v>
      </c>
      <c r="C46" s="107" t="s">
        <v>222</v>
      </c>
      <c r="D46" s="109" t="s">
        <v>223</v>
      </c>
      <c r="E46" s="107" t="s">
        <v>36</v>
      </c>
      <c r="F46" s="126" t="s">
        <v>224</v>
      </c>
      <c r="G46" s="133" t="s">
        <v>225</v>
      </c>
      <c r="H46" s="125" t="s">
        <v>39</v>
      </c>
      <c r="I46" s="109" t="s">
        <v>226</v>
      </c>
      <c r="J46" s="133" t="s">
        <v>227</v>
      </c>
      <c r="K46" s="154" t="s">
        <v>228</v>
      </c>
      <c r="L46" s="144">
        <v>2022</v>
      </c>
      <c r="M46" s="144" t="s">
        <v>43</v>
      </c>
      <c r="N46" s="144" t="s">
        <v>44</v>
      </c>
      <c r="O46" s="144" t="s">
        <v>45</v>
      </c>
    </row>
    <row r="47" spans="1:15" s="95" customFormat="1" ht="45" customHeight="1">
      <c r="A47" s="118">
        <v>33</v>
      </c>
      <c r="B47" s="119">
        <v>222310030</v>
      </c>
      <c r="C47" s="267" t="s">
        <v>229</v>
      </c>
      <c r="D47" s="121" t="s">
        <v>230</v>
      </c>
      <c r="E47" s="134" t="s">
        <v>36</v>
      </c>
      <c r="F47" s="121" t="s">
        <v>37</v>
      </c>
      <c r="G47" s="135" t="s">
        <v>231</v>
      </c>
      <c r="H47" s="136" t="s">
        <v>39</v>
      </c>
      <c r="I47" s="155" t="s">
        <v>232</v>
      </c>
      <c r="J47" s="156" t="s">
        <v>233</v>
      </c>
      <c r="K47" s="157" t="s">
        <v>234</v>
      </c>
      <c r="L47" s="119">
        <v>2022</v>
      </c>
      <c r="M47" s="119" t="s">
        <v>43</v>
      </c>
      <c r="N47" s="119" t="s">
        <v>44</v>
      </c>
      <c r="O47" s="119" t="s">
        <v>45</v>
      </c>
    </row>
    <row r="48" spans="1:15" s="95" customFormat="1" ht="45" customHeight="1">
      <c r="A48" s="118">
        <v>34</v>
      </c>
      <c r="B48" s="119">
        <v>222310031</v>
      </c>
      <c r="C48" s="267" t="s">
        <v>235</v>
      </c>
      <c r="D48" s="121" t="s">
        <v>236</v>
      </c>
      <c r="E48" s="137" t="s">
        <v>36</v>
      </c>
      <c r="F48" s="121" t="s">
        <v>237</v>
      </c>
      <c r="G48" s="135" t="s">
        <v>238</v>
      </c>
      <c r="H48" s="136" t="s">
        <v>39</v>
      </c>
      <c r="I48" s="158" t="s">
        <v>239</v>
      </c>
      <c r="J48" s="159" t="s">
        <v>96</v>
      </c>
      <c r="K48" s="157" t="s">
        <v>240</v>
      </c>
      <c r="L48" s="119">
        <v>2022</v>
      </c>
      <c r="M48" s="119" t="s">
        <v>43</v>
      </c>
      <c r="N48" s="119" t="s">
        <v>44</v>
      </c>
      <c r="O48" s="119" t="s">
        <v>45</v>
      </c>
    </row>
    <row r="49" spans="1:15" s="95" customFormat="1" ht="45" customHeight="1">
      <c r="A49" s="118">
        <v>35</v>
      </c>
      <c r="B49" s="119">
        <v>222310032</v>
      </c>
      <c r="C49" s="267" t="s">
        <v>241</v>
      </c>
      <c r="D49" s="121" t="s">
        <v>242</v>
      </c>
      <c r="E49" s="138" t="s">
        <v>36</v>
      </c>
      <c r="F49" s="121" t="s">
        <v>37</v>
      </c>
      <c r="G49" s="135" t="s">
        <v>124</v>
      </c>
      <c r="H49" s="136" t="s">
        <v>39</v>
      </c>
      <c r="I49" s="155" t="s">
        <v>243</v>
      </c>
      <c r="J49" s="156" t="s">
        <v>244</v>
      </c>
      <c r="K49" s="157" t="s">
        <v>245</v>
      </c>
      <c r="L49" s="119">
        <v>2022</v>
      </c>
      <c r="M49" s="119" t="s">
        <v>43</v>
      </c>
      <c r="N49" s="119" t="s">
        <v>44</v>
      </c>
      <c r="O49" s="119" t="s">
        <v>45</v>
      </c>
    </row>
    <row r="50" spans="1:15" s="95" customFormat="1" ht="45" customHeight="1">
      <c r="A50" s="118">
        <v>36</v>
      </c>
      <c r="B50" s="119">
        <v>222310033</v>
      </c>
      <c r="C50" s="267" t="s">
        <v>246</v>
      </c>
      <c r="D50" s="121" t="s">
        <v>247</v>
      </c>
      <c r="E50" s="138" t="s">
        <v>36</v>
      </c>
      <c r="F50" s="121" t="s">
        <v>37</v>
      </c>
      <c r="G50" s="135" t="s">
        <v>248</v>
      </c>
      <c r="H50" s="136" t="s">
        <v>39</v>
      </c>
      <c r="I50" s="158" t="s">
        <v>249</v>
      </c>
      <c r="J50" s="156" t="s">
        <v>250</v>
      </c>
      <c r="K50" s="157" t="s">
        <v>251</v>
      </c>
      <c r="L50" s="119">
        <v>2022</v>
      </c>
      <c r="M50" s="119" t="s">
        <v>43</v>
      </c>
      <c r="N50" s="119" t="s">
        <v>44</v>
      </c>
      <c r="O50" s="119" t="s">
        <v>45</v>
      </c>
    </row>
    <row r="51" spans="1:15" s="95" customFormat="1" ht="45" customHeight="1">
      <c r="A51" s="118">
        <v>37</v>
      </c>
      <c r="B51" s="119">
        <v>222310034</v>
      </c>
      <c r="C51" s="267" t="s">
        <v>252</v>
      </c>
      <c r="D51" s="121" t="s">
        <v>253</v>
      </c>
      <c r="E51" s="137" t="s">
        <v>36</v>
      </c>
      <c r="F51" s="121" t="s">
        <v>37</v>
      </c>
      <c r="G51" s="139">
        <v>39176</v>
      </c>
      <c r="H51" s="136" t="s">
        <v>39</v>
      </c>
      <c r="I51" s="155" t="s">
        <v>254</v>
      </c>
      <c r="J51" s="159" t="s">
        <v>255</v>
      </c>
      <c r="K51" s="160" t="s">
        <v>256</v>
      </c>
      <c r="L51" s="119">
        <v>2022</v>
      </c>
      <c r="M51" s="119" t="s">
        <v>43</v>
      </c>
      <c r="N51" s="119" t="s">
        <v>44</v>
      </c>
      <c r="O51" s="119" t="s">
        <v>45</v>
      </c>
    </row>
    <row r="52" spans="1:15" s="95" customFormat="1" ht="45" customHeight="1">
      <c r="A52" s="118">
        <v>38</v>
      </c>
      <c r="B52" s="119">
        <v>222310035</v>
      </c>
      <c r="C52" s="268" t="s">
        <v>257</v>
      </c>
      <c r="D52" s="121" t="s">
        <v>258</v>
      </c>
      <c r="E52" s="138" t="s">
        <v>36</v>
      </c>
      <c r="F52" s="121" t="s">
        <v>37</v>
      </c>
      <c r="G52" s="140" t="s">
        <v>259</v>
      </c>
      <c r="H52" s="136" t="s">
        <v>39</v>
      </c>
      <c r="I52" s="158" t="s">
        <v>260</v>
      </c>
      <c r="J52" s="161" t="s">
        <v>261</v>
      </c>
      <c r="K52" s="160" t="s">
        <v>262</v>
      </c>
      <c r="L52" s="119">
        <v>2022</v>
      </c>
      <c r="M52" s="119" t="s">
        <v>43</v>
      </c>
      <c r="N52" s="119" t="s">
        <v>44</v>
      </c>
      <c r="O52" s="119" t="s">
        <v>45</v>
      </c>
    </row>
    <row r="53" spans="1:15" s="95" customFormat="1" ht="45" customHeight="1">
      <c r="A53" s="118">
        <v>39</v>
      </c>
      <c r="B53" s="119">
        <v>222310036</v>
      </c>
      <c r="C53" s="267" t="s">
        <v>263</v>
      </c>
      <c r="D53" s="121" t="s">
        <v>264</v>
      </c>
      <c r="E53" s="137" t="s">
        <v>36</v>
      </c>
      <c r="F53" s="121" t="s">
        <v>37</v>
      </c>
      <c r="G53" s="135" t="s">
        <v>265</v>
      </c>
      <c r="H53" s="136" t="s">
        <v>39</v>
      </c>
      <c r="I53" s="155" t="s">
        <v>266</v>
      </c>
      <c r="J53" s="159" t="s">
        <v>267</v>
      </c>
      <c r="K53" s="157" t="s">
        <v>268</v>
      </c>
      <c r="L53" s="119">
        <v>2022</v>
      </c>
      <c r="M53" s="119" t="s">
        <v>43</v>
      </c>
      <c r="N53" s="119" t="s">
        <v>44</v>
      </c>
      <c r="O53" s="119" t="s">
        <v>45</v>
      </c>
    </row>
    <row r="54" spans="1:15" s="95" customFormat="1" ht="45" customHeight="1">
      <c r="A54" s="118">
        <v>40</v>
      </c>
      <c r="B54" s="119">
        <v>222310037</v>
      </c>
      <c r="C54" s="267" t="s">
        <v>269</v>
      </c>
      <c r="D54" s="121" t="s">
        <v>270</v>
      </c>
      <c r="E54" s="138" t="s">
        <v>36</v>
      </c>
      <c r="F54" s="121" t="s">
        <v>37</v>
      </c>
      <c r="G54" s="269" t="s">
        <v>271</v>
      </c>
      <c r="H54" s="136" t="s">
        <v>39</v>
      </c>
      <c r="I54" s="158" t="s">
        <v>272</v>
      </c>
      <c r="J54" s="162" t="s">
        <v>273</v>
      </c>
      <c r="K54" s="160" t="s">
        <v>274</v>
      </c>
      <c r="L54" s="119">
        <v>2022</v>
      </c>
      <c r="M54" s="119" t="s">
        <v>43</v>
      </c>
      <c r="N54" s="119" t="s">
        <v>44</v>
      </c>
      <c r="O54" s="119" t="s">
        <v>45</v>
      </c>
    </row>
    <row r="55" spans="1:15" s="95" customFormat="1" ht="45" customHeight="1">
      <c r="A55" s="118">
        <v>41</v>
      </c>
      <c r="B55" s="119">
        <v>222310038</v>
      </c>
      <c r="C55" s="267" t="s">
        <v>275</v>
      </c>
      <c r="D55" s="121" t="s">
        <v>276</v>
      </c>
      <c r="E55" s="134" t="s">
        <v>36</v>
      </c>
      <c r="F55" s="121" t="s">
        <v>277</v>
      </c>
      <c r="G55" s="135" t="s">
        <v>278</v>
      </c>
      <c r="H55" s="136" t="s">
        <v>39</v>
      </c>
      <c r="I55" s="158" t="s">
        <v>279</v>
      </c>
      <c r="J55" s="163" t="s">
        <v>280</v>
      </c>
      <c r="K55" s="160" t="s">
        <v>281</v>
      </c>
      <c r="L55" s="119">
        <v>2022</v>
      </c>
      <c r="M55" s="119" t="s">
        <v>43</v>
      </c>
      <c r="N55" s="119" t="s">
        <v>44</v>
      </c>
      <c r="O55" s="119" t="s">
        <v>45</v>
      </c>
    </row>
    <row r="56" spans="1:15" s="95" customFormat="1" ht="45" customHeight="1">
      <c r="A56" s="118">
        <v>42</v>
      </c>
      <c r="B56" s="119">
        <v>222310039</v>
      </c>
      <c r="C56" s="267" t="s">
        <v>282</v>
      </c>
      <c r="D56" s="121" t="s">
        <v>283</v>
      </c>
      <c r="E56" s="138" t="s">
        <v>36</v>
      </c>
      <c r="F56" s="121" t="s">
        <v>277</v>
      </c>
      <c r="G56" s="135" t="s">
        <v>278</v>
      </c>
      <c r="H56" s="136" t="s">
        <v>39</v>
      </c>
      <c r="I56" s="158" t="s">
        <v>279</v>
      </c>
      <c r="J56" s="162" t="s">
        <v>280</v>
      </c>
      <c r="K56" s="160" t="s">
        <v>284</v>
      </c>
      <c r="L56" s="119">
        <v>2022</v>
      </c>
      <c r="M56" s="119" t="s">
        <v>43</v>
      </c>
      <c r="N56" s="119" t="s">
        <v>44</v>
      </c>
      <c r="O56" s="119" t="s">
        <v>45</v>
      </c>
    </row>
    <row r="57" spans="1:15" s="95" customFormat="1" ht="45" customHeight="1">
      <c r="A57" s="118">
        <v>43</v>
      </c>
      <c r="B57" s="119">
        <v>222310040</v>
      </c>
      <c r="C57" s="268" t="s">
        <v>285</v>
      </c>
      <c r="D57" s="121" t="s">
        <v>286</v>
      </c>
      <c r="E57" s="138" t="s">
        <v>36</v>
      </c>
      <c r="F57" s="121" t="s">
        <v>237</v>
      </c>
      <c r="G57" s="140" t="s">
        <v>287</v>
      </c>
      <c r="H57" s="136" t="s">
        <v>39</v>
      </c>
      <c r="I57" s="158" t="s">
        <v>288</v>
      </c>
      <c r="J57" s="161" t="s">
        <v>289</v>
      </c>
      <c r="K57" s="157" t="s">
        <v>290</v>
      </c>
      <c r="L57" s="119">
        <v>2022</v>
      </c>
      <c r="M57" s="119" t="s">
        <v>43</v>
      </c>
      <c r="N57" s="119" t="s">
        <v>44</v>
      </c>
      <c r="O57" s="119" t="s">
        <v>45</v>
      </c>
    </row>
    <row r="58" spans="1:15" s="95" customFormat="1" ht="45" customHeight="1">
      <c r="A58" s="118">
        <v>44</v>
      </c>
      <c r="B58" s="119">
        <v>222310041</v>
      </c>
      <c r="C58" s="267" t="s">
        <v>291</v>
      </c>
      <c r="D58" s="121" t="s">
        <v>292</v>
      </c>
      <c r="E58" s="137" t="s">
        <v>36</v>
      </c>
      <c r="F58" s="121" t="s">
        <v>37</v>
      </c>
      <c r="G58" s="270" t="s">
        <v>293</v>
      </c>
      <c r="H58" s="136" t="s">
        <v>39</v>
      </c>
      <c r="I58" s="155" t="s">
        <v>294</v>
      </c>
      <c r="J58" s="159" t="s">
        <v>295</v>
      </c>
      <c r="K58" s="160" t="s">
        <v>296</v>
      </c>
      <c r="L58" s="119">
        <v>2022</v>
      </c>
      <c r="M58" s="119" t="s">
        <v>43</v>
      </c>
      <c r="N58" s="119" t="s">
        <v>44</v>
      </c>
      <c r="O58" s="119" t="s">
        <v>45</v>
      </c>
    </row>
    <row r="59" spans="1:15" s="95" customFormat="1" ht="45" customHeight="1">
      <c r="A59" s="118">
        <v>45</v>
      </c>
      <c r="B59" s="119">
        <v>222310042</v>
      </c>
      <c r="C59" s="271" t="s">
        <v>297</v>
      </c>
      <c r="D59" s="121" t="s">
        <v>298</v>
      </c>
      <c r="E59" s="137" t="s">
        <v>36</v>
      </c>
      <c r="F59" s="121" t="s">
        <v>299</v>
      </c>
      <c r="G59" s="135" t="s">
        <v>300</v>
      </c>
      <c r="H59" s="136" t="s">
        <v>39</v>
      </c>
      <c r="I59" s="155" t="s">
        <v>301</v>
      </c>
      <c r="J59" s="159" t="s">
        <v>302</v>
      </c>
      <c r="K59" s="160" t="s">
        <v>303</v>
      </c>
      <c r="L59" s="119">
        <v>2022</v>
      </c>
      <c r="M59" s="119" t="s">
        <v>43</v>
      </c>
      <c r="N59" s="119" t="s">
        <v>44</v>
      </c>
      <c r="O59" s="119" t="s">
        <v>45</v>
      </c>
    </row>
    <row r="60" spans="1:15" s="95" customFormat="1" ht="45" customHeight="1">
      <c r="A60" s="118">
        <v>46</v>
      </c>
      <c r="B60" s="119">
        <v>222310043</v>
      </c>
      <c r="C60" s="272" t="s">
        <v>304</v>
      </c>
      <c r="D60" s="122" t="s">
        <v>305</v>
      </c>
      <c r="E60" s="141" t="s">
        <v>36</v>
      </c>
      <c r="F60" s="121" t="s">
        <v>306</v>
      </c>
      <c r="G60" s="273" t="s">
        <v>307</v>
      </c>
      <c r="H60" s="136" t="s">
        <v>39</v>
      </c>
      <c r="I60" s="158" t="s">
        <v>308</v>
      </c>
      <c r="J60" s="164" t="s">
        <v>244</v>
      </c>
      <c r="K60" s="157" t="s">
        <v>309</v>
      </c>
      <c r="L60" s="119">
        <v>2022</v>
      </c>
      <c r="M60" s="119" t="s">
        <v>43</v>
      </c>
      <c r="N60" s="119" t="s">
        <v>44</v>
      </c>
      <c r="O60" s="119" t="s">
        <v>45</v>
      </c>
    </row>
    <row r="61" spans="1:15" s="95" customFormat="1" ht="45" customHeight="1">
      <c r="A61" s="118">
        <v>47</v>
      </c>
      <c r="B61" s="119">
        <v>222310044</v>
      </c>
      <c r="C61" s="267" t="s">
        <v>310</v>
      </c>
      <c r="D61" s="123" t="s">
        <v>311</v>
      </c>
      <c r="E61" s="138" t="s">
        <v>36</v>
      </c>
      <c r="F61" s="121" t="s">
        <v>37</v>
      </c>
      <c r="G61" s="139">
        <v>39041</v>
      </c>
      <c r="H61" s="136" t="s">
        <v>39</v>
      </c>
      <c r="I61" s="158" t="s">
        <v>312</v>
      </c>
      <c r="J61" s="162" t="s">
        <v>313</v>
      </c>
      <c r="K61" s="160" t="s">
        <v>314</v>
      </c>
      <c r="L61" s="119">
        <v>2022</v>
      </c>
      <c r="M61" s="119" t="s">
        <v>43</v>
      </c>
      <c r="N61" s="119" t="s">
        <v>44</v>
      </c>
      <c r="O61" s="119" t="s">
        <v>45</v>
      </c>
    </row>
    <row r="62" spans="1:15" s="95" customFormat="1" ht="45" customHeight="1">
      <c r="A62" s="118">
        <v>48</v>
      </c>
      <c r="B62" s="119">
        <v>222310045</v>
      </c>
      <c r="C62" s="267" t="s">
        <v>315</v>
      </c>
      <c r="D62" s="121" t="s">
        <v>316</v>
      </c>
      <c r="E62" s="138" t="s">
        <v>36</v>
      </c>
      <c r="F62" s="121" t="s">
        <v>37</v>
      </c>
      <c r="G62" s="135" t="s">
        <v>317</v>
      </c>
      <c r="H62" s="136" t="s">
        <v>39</v>
      </c>
      <c r="I62" s="158" t="s">
        <v>318</v>
      </c>
      <c r="J62" s="162" t="s">
        <v>319</v>
      </c>
      <c r="K62" s="157" t="s">
        <v>320</v>
      </c>
      <c r="L62" s="119">
        <v>2022</v>
      </c>
      <c r="M62" s="119" t="s">
        <v>43</v>
      </c>
      <c r="N62" s="119" t="s">
        <v>44</v>
      </c>
      <c r="O62" s="119" t="s">
        <v>45</v>
      </c>
    </row>
    <row r="63" spans="1:15" s="95" customFormat="1" ht="45" customHeight="1">
      <c r="A63" s="118">
        <v>49</v>
      </c>
      <c r="B63" s="119">
        <v>222310047</v>
      </c>
      <c r="C63" s="267" t="s">
        <v>321</v>
      </c>
      <c r="D63" s="121" t="s">
        <v>322</v>
      </c>
      <c r="E63" s="138" t="s">
        <v>36</v>
      </c>
      <c r="F63" s="121" t="s">
        <v>37</v>
      </c>
      <c r="G63" s="135" t="s">
        <v>323</v>
      </c>
      <c r="H63" s="136" t="s">
        <v>39</v>
      </c>
      <c r="I63" s="158" t="s">
        <v>324</v>
      </c>
      <c r="J63" s="162" t="s">
        <v>325</v>
      </c>
      <c r="K63" s="160" t="s">
        <v>326</v>
      </c>
      <c r="L63" s="119">
        <v>2022</v>
      </c>
      <c r="M63" s="119" t="s">
        <v>43</v>
      </c>
      <c r="N63" s="119" t="s">
        <v>44</v>
      </c>
      <c r="O63" s="119" t="s">
        <v>45</v>
      </c>
    </row>
    <row r="64" spans="1:15" s="95" customFormat="1" ht="45" customHeight="1">
      <c r="A64" s="118">
        <v>50</v>
      </c>
      <c r="B64" s="119">
        <v>222310048</v>
      </c>
      <c r="C64" s="267" t="s">
        <v>327</v>
      </c>
      <c r="D64" s="121" t="s">
        <v>328</v>
      </c>
      <c r="E64" s="134" t="s">
        <v>36</v>
      </c>
      <c r="F64" s="121" t="s">
        <v>37</v>
      </c>
      <c r="G64" s="269" t="s">
        <v>329</v>
      </c>
      <c r="H64" s="136" t="s">
        <v>39</v>
      </c>
      <c r="I64" s="158" t="s">
        <v>330</v>
      </c>
      <c r="J64" s="162" t="s">
        <v>331</v>
      </c>
      <c r="K64" s="157" t="s">
        <v>332</v>
      </c>
      <c r="L64" s="119">
        <v>2022</v>
      </c>
      <c r="M64" s="119" t="s">
        <v>43</v>
      </c>
      <c r="N64" s="119" t="s">
        <v>44</v>
      </c>
      <c r="O64" s="119" t="s">
        <v>45</v>
      </c>
    </row>
    <row r="65" spans="1:15" s="95" customFormat="1" ht="45" customHeight="1">
      <c r="A65" s="118">
        <v>51</v>
      </c>
      <c r="B65" s="119">
        <v>222310049</v>
      </c>
      <c r="C65" s="267" t="s">
        <v>333</v>
      </c>
      <c r="D65" s="121" t="s">
        <v>334</v>
      </c>
      <c r="E65" s="137" t="s">
        <v>36</v>
      </c>
      <c r="F65" s="121" t="s">
        <v>37</v>
      </c>
      <c r="G65" s="139" t="s">
        <v>335</v>
      </c>
      <c r="H65" s="136" t="s">
        <v>39</v>
      </c>
      <c r="I65" s="158" t="s">
        <v>336</v>
      </c>
      <c r="J65" s="159" t="s">
        <v>337</v>
      </c>
      <c r="K65" s="157" t="s">
        <v>338</v>
      </c>
      <c r="L65" s="119">
        <v>2022</v>
      </c>
      <c r="M65" s="119" t="s">
        <v>43</v>
      </c>
      <c r="N65" s="119" t="s">
        <v>44</v>
      </c>
      <c r="O65" s="119" t="s">
        <v>45</v>
      </c>
    </row>
    <row r="66" spans="1:15" s="95" customFormat="1" ht="45" customHeight="1">
      <c r="A66" s="118">
        <v>52</v>
      </c>
      <c r="B66" s="119">
        <v>222310050</v>
      </c>
      <c r="C66" s="274" t="s">
        <v>339</v>
      </c>
      <c r="D66" s="165" t="s">
        <v>340</v>
      </c>
      <c r="E66" s="134" t="s">
        <v>36</v>
      </c>
      <c r="F66" s="121" t="s">
        <v>37</v>
      </c>
      <c r="G66" s="275" t="s">
        <v>341</v>
      </c>
      <c r="H66" s="136" t="s">
        <v>39</v>
      </c>
      <c r="I66" s="158" t="s">
        <v>342</v>
      </c>
      <c r="J66" s="161" t="s">
        <v>343</v>
      </c>
      <c r="K66" s="160" t="s">
        <v>344</v>
      </c>
      <c r="L66" s="119">
        <v>2022</v>
      </c>
      <c r="M66" s="119" t="s">
        <v>43</v>
      </c>
      <c r="N66" s="119" t="s">
        <v>44</v>
      </c>
      <c r="O66" s="119" t="s">
        <v>45</v>
      </c>
    </row>
    <row r="67" spans="1:15" s="95" customFormat="1" ht="45" customHeight="1">
      <c r="A67" s="118">
        <v>53</v>
      </c>
      <c r="B67" s="119">
        <v>222310051</v>
      </c>
      <c r="C67" s="267" t="s">
        <v>345</v>
      </c>
      <c r="D67" s="121" t="s">
        <v>346</v>
      </c>
      <c r="E67" s="120" t="s">
        <v>36</v>
      </c>
      <c r="F67" s="121" t="s">
        <v>37</v>
      </c>
      <c r="G67" s="135" t="s">
        <v>347</v>
      </c>
      <c r="H67" s="136" t="s">
        <v>39</v>
      </c>
      <c r="I67" s="158" t="s">
        <v>348</v>
      </c>
      <c r="J67" s="159" t="s">
        <v>349</v>
      </c>
      <c r="K67" s="160" t="s">
        <v>350</v>
      </c>
      <c r="L67" s="119">
        <v>2022</v>
      </c>
      <c r="M67" s="119" t="s">
        <v>43</v>
      </c>
      <c r="N67" s="119" t="s">
        <v>44</v>
      </c>
      <c r="O67" s="119" t="s">
        <v>45</v>
      </c>
    </row>
    <row r="68" spans="1:15" s="95" customFormat="1" ht="45" customHeight="1">
      <c r="A68" s="118">
        <v>54</v>
      </c>
      <c r="B68" s="119">
        <v>222310052</v>
      </c>
      <c r="C68" s="267" t="s">
        <v>351</v>
      </c>
      <c r="D68" s="121" t="s">
        <v>352</v>
      </c>
      <c r="E68" s="134" t="s">
        <v>36</v>
      </c>
      <c r="F68" s="121" t="s">
        <v>37</v>
      </c>
      <c r="G68" s="135" t="s">
        <v>353</v>
      </c>
      <c r="H68" s="136" t="s">
        <v>39</v>
      </c>
      <c r="I68" s="158" t="s">
        <v>354</v>
      </c>
      <c r="J68" s="162" t="s">
        <v>355</v>
      </c>
      <c r="K68" s="160" t="s">
        <v>356</v>
      </c>
      <c r="L68" s="119">
        <v>2022</v>
      </c>
      <c r="M68" s="119" t="s">
        <v>43</v>
      </c>
      <c r="N68" s="119" t="s">
        <v>44</v>
      </c>
      <c r="O68" s="119" t="s">
        <v>45</v>
      </c>
    </row>
    <row r="69" spans="1:15" s="95" customFormat="1" ht="45" customHeight="1">
      <c r="A69" s="118">
        <v>55</v>
      </c>
      <c r="B69" s="119">
        <v>222310053</v>
      </c>
      <c r="C69" s="267" t="s">
        <v>357</v>
      </c>
      <c r="D69" s="121" t="s">
        <v>358</v>
      </c>
      <c r="E69" s="134" t="s">
        <v>36</v>
      </c>
      <c r="F69" s="121" t="s">
        <v>37</v>
      </c>
      <c r="G69" s="269" t="s">
        <v>359</v>
      </c>
      <c r="H69" s="136" t="s">
        <v>39</v>
      </c>
      <c r="I69" s="155" t="s">
        <v>360</v>
      </c>
      <c r="J69" s="162" t="s">
        <v>361</v>
      </c>
      <c r="K69" s="160" t="s">
        <v>362</v>
      </c>
      <c r="L69" s="119">
        <v>2022</v>
      </c>
      <c r="M69" s="119" t="s">
        <v>43</v>
      </c>
      <c r="N69" s="119" t="s">
        <v>44</v>
      </c>
      <c r="O69" s="119" t="s">
        <v>45</v>
      </c>
    </row>
    <row r="70" spans="1:15" s="95" customFormat="1" ht="45" customHeight="1">
      <c r="A70" s="118">
        <v>56</v>
      </c>
      <c r="B70" s="119">
        <v>222310054</v>
      </c>
      <c r="C70" s="267" t="s">
        <v>363</v>
      </c>
      <c r="D70" s="122" t="s">
        <v>364</v>
      </c>
      <c r="E70" s="184" t="s">
        <v>36</v>
      </c>
      <c r="F70" s="121" t="s">
        <v>37</v>
      </c>
      <c r="G70" s="270" t="s">
        <v>365</v>
      </c>
      <c r="H70" s="136" t="s">
        <v>39</v>
      </c>
      <c r="I70" s="155" t="s">
        <v>366</v>
      </c>
      <c r="J70" s="162" t="s">
        <v>96</v>
      </c>
      <c r="K70" s="160" t="s">
        <v>367</v>
      </c>
      <c r="L70" s="119">
        <v>2022</v>
      </c>
      <c r="M70" s="119" t="s">
        <v>43</v>
      </c>
      <c r="N70" s="119" t="s">
        <v>44</v>
      </c>
      <c r="O70" s="119" t="s">
        <v>45</v>
      </c>
    </row>
    <row r="71" spans="1:15" s="95" customFormat="1" ht="45" customHeight="1">
      <c r="A71" s="118">
        <v>57</v>
      </c>
      <c r="B71" s="119">
        <v>222310055</v>
      </c>
      <c r="C71" s="271" t="s">
        <v>368</v>
      </c>
      <c r="D71" s="166" t="s">
        <v>369</v>
      </c>
      <c r="E71" s="185" t="s">
        <v>36</v>
      </c>
      <c r="F71" s="121" t="s">
        <v>37</v>
      </c>
      <c r="G71" s="139" t="s">
        <v>370</v>
      </c>
      <c r="H71" s="136" t="s">
        <v>39</v>
      </c>
      <c r="I71" s="155" t="s">
        <v>371</v>
      </c>
      <c r="J71" s="159" t="s">
        <v>313</v>
      </c>
      <c r="K71" s="160" t="s">
        <v>372</v>
      </c>
      <c r="L71" s="119">
        <v>2022</v>
      </c>
      <c r="M71" s="119" t="s">
        <v>43</v>
      </c>
      <c r="N71" s="119" t="s">
        <v>44</v>
      </c>
      <c r="O71" s="119" t="s">
        <v>45</v>
      </c>
    </row>
    <row r="72" spans="1:15" s="96" customFormat="1" ht="45" customHeight="1">
      <c r="A72" s="167">
        <v>58</v>
      </c>
      <c r="B72" s="167">
        <v>222310056</v>
      </c>
      <c r="C72" s="276" t="s">
        <v>373</v>
      </c>
      <c r="D72" s="169" t="s">
        <v>374</v>
      </c>
      <c r="E72" s="186" t="s">
        <v>36</v>
      </c>
      <c r="F72" s="170" t="s">
        <v>37</v>
      </c>
      <c r="G72" s="187" t="s">
        <v>375</v>
      </c>
      <c r="H72" s="188" t="s">
        <v>39</v>
      </c>
      <c r="I72" s="206" t="s">
        <v>376</v>
      </c>
      <c r="J72" s="207" t="s">
        <v>96</v>
      </c>
      <c r="K72" s="208" t="s">
        <v>377</v>
      </c>
      <c r="L72" s="209">
        <v>2022</v>
      </c>
      <c r="M72" s="209" t="s">
        <v>43</v>
      </c>
      <c r="N72" s="209" t="s">
        <v>44</v>
      </c>
      <c r="O72" s="209" t="s">
        <v>45</v>
      </c>
    </row>
    <row r="73" spans="1:15" s="96" customFormat="1" ht="45" customHeight="1">
      <c r="A73" s="167">
        <v>59</v>
      </c>
      <c r="B73" s="167">
        <v>222310057</v>
      </c>
      <c r="C73" s="276" t="s">
        <v>378</v>
      </c>
      <c r="D73" s="170" t="s">
        <v>379</v>
      </c>
      <c r="E73" s="189" t="s">
        <v>36</v>
      </c>
      <c r="F73" s="170" t="s">
        <v>237</v>
      </c>
      <c r="G73" s="187" t="s">
        <v>380</v>
      </c>
      <c r="H73" s="188" t="s">
        <v>39</v>
      </c>
      <c r="I73" s="206" t="s">
        <v>381</v>
      </c>
      <c r="J73" s="210" t="s">
        <v>382</v>
      </c>
      <c r="K73" s="187" t="s">
        <v>383</v>
      </c>
      <c r="L73" s="209">
        <v>2022</v>
      </c>
      <c r="M73" s="209" t="s">
        <v>43</v>
      </c>
      <c r="N73" s="209" t="s">
        <v>44</v>
      </c>
      <c r="O73" s="209" t="s">
        <v>45</v>
      </c>
    </row>
    <row r="74" spans="1:15" s="96" customFormat="1" ht="45" customHeight="1">
      <c r="A74" s="167">
        <v>60</v>
      </c>
      <c r="B74" s="167">
        <v>222310058</v>
      </c>
      <c r="C74" s="276" t="s">
        <v>384</v>
      </c>
      <c r="D74" s="170" t="s">
        <v>385</v>
      </c>
      <c r="E74" s="190" t="s">
        <v>36</v>
      </c>
      <c r="F74" s="170" t="s">
        <v>386</v>
      </c>
      <c r="G74" s="187" t="s">
        <v>387</v>
      </c>
      <c r="H74" s="188" t="s">
        <v>39</v>
      </c>
      <c r="I74" s="206" t="s">
        <v>388</v>
      </c>
      <c r="J74" s="207" t="s">
        <v>389</v>
      </c>
      <c r="K74" s="187" t="s">
        <v>390</v>
      </c>
      <c r="L74" s="209">
        <v>2022</v>
      </c>
      <c r="M74" s="209" t="s">
        <v>43</v>
      </c>
      <c r="N74" s="209" t="s">
        <v>44</v>
      </c>
      <c r="O74" s="209" t="s">
        <v>45</v>
      </c>
    </row>
    <row r="75" spans="1:15" s="96" customFormat="1" ht="45" customHeight="1">
      <c r="A75" s="167">
        <v>61</v>
      </c>
      <c r="B75" s="167">
        <v>222310148</v>
      </c>
      <c r="C75" s="276" t="s">
        <v>391</v>
      </c>
      <c r="D75" s="170" t="s">
        <v>392</v>
      </c>
      <c r="E75" s="191" t="s">
        <v>36</v>
      </c>
      <c r="F75" s="170" t="s">
        <v>37</v>
      </c>
      <c r="G75" s="192" t="s">
        <v>393</v>
      </c>
      <c r="H75" s="188" t="s">
        <v>39</v>
      </c>
      <c r="I75" s="206" t="s">
        <v>394</v>
      </c>
      <c r="J75" s="210" t="s">
        <v>395</v>
      </c>
      <c r="K75" s="211" t="s">
        <v>396</v>
      </c>
      <c r="L75" s="209">
        <v>2022</v>
      </c>
      <c r="M75" s="209" t="s">
        <v>43</v>
      </c>
      <c r="N75" s="209" t="s">
        <v>44</v>
      </c>
      <c r="O75" s="209" t="s">
        <v>45</v>
      </c>
    </row>
    <row r="76" spans="1:15" s="96" customFormat="1" ht="45" customHeight="1">
      <c r="A76" s="167">
        <v>62</v>
      </c>
      <c r="B76" s="167">
        <v>222310059</v>
      </c>
      <c r="C76" s="276" t="s">
        <v>397</v>
      </c>
      <c r="D76" s="170" t="s">
        <v>398</v>
      </c>
      <c r="E76" s="190" t="s">
        <v>36</v>
      </c>
      <c r="F76" s="170" t="s">
        <v>37</v>
      </c>
      <c r="G76" s="187" t="s">
        <v>399</v>
      </c>
      <c r="H76" s="188" t="s">
        <v>39</v>
      </c>
      <c r="I76" s="206" t="s">
        <v>400</v>
      </c>
      <c r="J76" s="207" t="s">
        <v>401</v>
      </c>
      <c r="K76" s="211" t="s">
        <v>402</v>
      </c>
      <c r="L76" s="209">
        <v>2022</v>
      </c>
      <c r="M76" s="209" t="s">
        <v>43</v>
      </c>
      <c r="N76" s="209" t="s">
        <v>44</v>
      </c>
      <c r="O76" s="209" t="s">
        <v>45</v>
      </c>
    </row>
    <row r="77" spans="1:15" s="96" customFormat="1" ht="45" customHeight="1">
      <c r="A77" s="167">
        <v>63</v>
      </c>
      <c r="B77" s="167">
        <v>222310060</v>
      </c>
      <c r="C77" s="276" t="s">
        <v>403</v>
      </c>
      <c r="D77" s="170" t="s">
        <v>404</v>
      </c>
      <c r="E77" s="189" t="s">
        <v>36</v>
      </c>
      <c r="F77" s="170" t="s">
        <v>193</v>
      </c>
      <c r="G77" s="277" t="s">
        <v>405</v>
      </c>
      <c r="H77" s="188" t="s">
        <v>39</v>
      </c>
      <c r="I77" s="206" t="s">
        <v>406</v>
      </c>
      <c r="J77" s="210" t="s">
        <v>407</v>
      </c>
      <c r="K77" s="211" t="s">
        <v>408</v>
      </c>
      <c r="L77" s="209">
        <v>2022</v>
      </c>
      <c r="M77" s="209" t="s">
        <v>43</v>
      </c>
      <c r="N77" s="209" t="s">
        <v>44</v>
      </c>
      <c r="O77" s="209" t="s">
        <v>45</v>
      </c>
    </row>
    <row r="78" spans="1:15" s="96" customFormat="1" ht="45" customHeight="1">
      <c r="A78" s="167">
        <v>64</v>
      </c>
      <c r="B78" s="167">
        <v>222310062</v>
      </c>
      <c r="C78" s="276" t="s">
        <v>409</v>
      </c>
      <c r="D78" s="170" t="s">
        <v>410</v>
      </c>
      <c r="E78" s="189" t="s">
        <v>36</v>
      </c>
      <c r="F78" s="170" t="s">
        <v>37</v>
      </c>
      <c r="G78" s="187" t="s">
        <v>411</v>
      </c>
      <c r="H78" s="188" t="s">
        <v>39</v>
      </c>
      <c r="I78" s="206" t="s">
        <v>412</v>
      </c>
      <c r="J78" s="210" t="s">
        <v>413</v>
      </c>
      <c r="K78" s="211" t="s">
        <v>414</v>
      </c>
      <c r="L78" s="209">
        <v>2022</v>
      </c>
      <c r="M78" s="209" t="s">
        <v>43</v>
      </c>
      <c r="N78" s="209" t="s">
        <v>44</v>
      </c>
      <c r="O78" s="209" t="s">
        <v>45</v>
      </c>
    </row>
    <row r="79" spans="1:15" s="96" customFormat="1" ht="45" customHeight="1">
      <c r="A79" s="167">
        <v>65</v>
      </c>
      <c r="B79" s="167">
        <v>222310063</v>
      </c>
      <c r="C79" s="276" t="s">
        <v>415</v>
      </c>
      <c r="D79" s="170" t="s">
        <v>416</v>
      </c>
      <c r="E79" s="190" t="s">
        <v>36</v>
      </c>
      <c r="F79" s="170" t="s">
        <v>37</v>
      </c>
      <c r="G79" s="278" t="s">
        <v>417</v>
      </c>
      <c r="H79" s="188" t="s">
        <v>39</v>
      </c>
      <c r="I79" s="212" t="s">
        <v>418</v>
      </c>
      <c r="J79" s="213" t="s">
        <v>419</v>
      </c>
      <c r="K79" s="211" t="s">
        <v>420</v>
      </c>
      <c r="L79" s="209">
        <v>2022</v>
      </c>
      <c r="M79" s="209" t="s">
        <v>43</v>
      </c>
      <c r="N79" s="209" t="s">
        <v>44</v>
      </c>
      <c r="O79" s="209" t="s">
        <v>45</v>
      </c>
    </row>
    <row r="80" spans="1:15" s="96" customFormat="1" ht="45" customHeight="1">
      <c r="A80" s="167">
        <v>66</v>
      </c>
      <c r="B80" s="167">
        <v>222310064</v>
      </c>
      <c r="C80" s="276" t="s">
        <v>421</v>
      </c>
      <c r="D80" s="170" t="s">
        <v>422</v>
      </c>
      <c r="E80" s="186" t="s">
        <v>36</v>
      </c>
      <c r="F80" s="170" t="s">
        <v>37</v>
      </c>
      <c r="G80" s="187" t="s">
        <v>423</v>
      </c>
      <c r="H80" s="188" t="s">
        <v>39</v>
      </c>
      <c r="I80" s="206" t="s">
        <v>424</v>
      </c>
      <c r="J80" s="214" t="s">
        <v>425</v>
      </c>
      <c r="K80" s="211" t="s">
        <v>426</v>
      </c>
      <c r="L80" s="209">
        <v>2022</v>
      </c>
      <c r="M80" s="209" t="s">
        <v>43</v>
      </c>
      <c r="N80" s="209" t="s">
        <v>44</v>
      </c>
      <c r="O80" s="209" t="s">
        <v>45</v>
      </c>
    </row>
    <row r="81" spans="1:35" s="96" customFormat="1" ht="45" customHeight="1">
      <c r="A81" s="167">
        <v>67</v>
      </c>
      <c r="B81" s="167">
        <v>222310065</v>
      </c>
      <c r="C81" s="276" t="s">
        <v>427</v>
      </c>
      <c r="D81" s="170" t="s">
        <v>428</v>
      </c>
      <c r="E81" s="190" t="s">
        <v>36</v>
      </c>
      <c r="F81" s="170" t="s">
        <v>37</v>
      </c>
      <c r="G81" s="187" t="s">
        <v>429</v>
      </c>
      <c r="H81" s="188" t="s">
        <v>39</v>
      </c>
      <c r="I81" s="206" t="s">
        <v>430</v>
      </c>
      <c r="J81" s="213" t="s">
        <v>431</v>
      </c>
      <c r="K81" s="211" t="s">
        <v>432</v>
      </c>
      <c r="L81" s="209">
        <v>2022</v>
      </c>
      <c r="M81" s="209" t="s">
        <v>43</v>
      </c>
      <c r="N81" s="209" t="s">
        <v>44</v>
      </c>
      <c r="O81" s="209" t="s">
        <v>45</v>
      </c>
    </row>
    <row r="82" spans="1:35" s="96" customFormat="1" ht="45" customHeight="1">
      <c r="A82" s="167">
        <v>68</v>
      </c>
      <c r="B82" s="167">
        <v>222310066</v>
      </c>
      <c r="C82" s="279" t="s">
        <v>433</v>
      </c>
      <c r="D82" s="170" t="s">
        <v>434</v>
      </c>
      <c r="E82" s="190" t="s">
        <v>36</v>
      </c>
      <c r="F82" s="170" t="s">
        <v>37</v>
      </c>
      <c r="G82" s="193" t="s">
        <v>435</v>
      </c>
      <c r="H82" s="188" t="s">
        <v>39</v>
      </c>
      <c r="I82" s="206" t="s">
        <v>436</v>
      </c>
      <c r="J82" s="215" t="s">
        <v>437</v>
      </c>
      <c r="K82" s="211" t="s">
        <v>438</v>
      </c>
      <c r="L82" s="209">
        <v>2021</v>
      </c>
      <c r="M82" s="209" t="s">
        <v>43</v>
      </c>
      <c r="N82" s="209" t="s">
        <v>44</v>
      </c>
      <c r="O82" s="209" t="s">
        <v>45</v>
      </c>
    </row>
    <row r="83" spans="1:35" s="96" customFormat="1" ht="45" customHeight="1">
      <c r="A83" s="167">
        <v>69</v>
      </c>
      <c r="B83" s="167">
        <v>222310067</v>
      </c>
      <c r="C83" s="276" t="s">
        <v>439</v>
      </c>
      <c r="D83" s="170" t="s">
        <v>440</v>
      </c>
      <c r="E83" s="189" t="s">
        <v>36</v>
      </c>
      <c r="F83" s="170" t="s">
        <v>37</v>
      </c>
      <c r="G83" s="187" t="s">
        <v>411</v>
      </c>
      <c r="H83" s="188" t="s">
        <v>39</v>
      </c>
      <c r="I83" s="206" t="s">
        <v>441</v>
      </c>
      <c r="J83" s="210" t="s">
        <v>442</v>
      </c>
      <c r="K83" s="211" t="s">
        <v>443</v>
      </c>
      <c r="L83" s="209">
        <v>2022</v>
      </c>
      <c r="M83" s="209" t="s">
        <v>43</v>
      </c>
      <c r="N83" s="209" t="s">
        <v>44</v>
      </c>
      <c r="O83" s="209" t="s">
        <v>45</v>
      </c>
    </row>
    <row r="84" spans="1:35" s="96" customFormat="1" ht="45" customHeight="1">
      <c r="A84" s="167">
        <v>70</v>
      </c>
      <c r="B84" s="167">
        <v>222310068</v>
      </c>
      <c r="C84" s="276" t="s">
        <v>444</v>
      </c>
      <c r="D84" s="170" t="s">
        <v>445</v>
      </c>
      <c r="E84" s="189" t="s">
        <v>36</v>
      </c>
      <c r="F84" s="170" t="s">
        <v>446</v>
      </c>
      <c r="G84" s="187" t="s">
        <v>447</v>
      </c>
      <c r="H84" s="188" t="s">
        <v>39</v>
      </c>
      <c r="I84" s="206" t="s">
        <v>448</v>
      </c>
      <c r="J84" s="210" t="s">
        <v>449</v>
      </c>
      <c r="K84" s="193" t="s">
        <v>450</v>
      </c>
      <c r="L84" s="209">
        <v>2022</v>
      </c>
      <c r="M84" s="209" t="s">
        <v>43</v>
      </c>
      <c r="N84" s="209" t="s">
        <v>44</v>
      </c>
      <c r="O84" s="209" t="s">
        <v>45</v>
      </c>
    </row>
    <row r="85" spans="1:35" s="96" customFormat="1" ht="45" customHeight="1">
      <c r="A85" s="167">
        <v>71</v>
      </c>
      <c r="B85" s="167">
        <v>222310069</v>
      </c>
      <c r="C85" s="280" t="s">
        <v>451</v>
      </c>
      <c r="D85" s="171" t="s">
        <v>452</v>
      </c>
      <c r="E85" s="194" t="s">
        <v>36</v>
      </c>
      <c r="F85" s="170" t="s">
        <v>37</v>
      </c>
      <c r="G85" s="281" t="s">
        <v>453</v>
      </c>
      <c r="H85" s="188" t="s">
        <v>39</v>
      </c>
      <c r="I85" s="216" t="s">
        <v>454</v>
      </c>
      <c r="J85" s="217" t="s">
        <v>455</v>
      </c>
      <c r="K85" s="211" t="s">
        <v>456</v>
      </c>
      <c r="L85" s="209">
        <v>2022</v>
      </c>
      <c r="M85" s="209" t="s">
        <v>43</v>
      </c>
      <c r="N85" s="209" t="s">
        <v>44</v>
      </c>
      <c r="O85" s="209" t="s">
        <v>45</v>
      </c>
    </row>
    <row r="86" spans="1:35" s="96" customFormat="1" ht="45" customHeight="1">
      <c r="A86" s="167">
        <v>72</v>
      </c>
      <c r="B86" s="167">
        <v>222310070</v>
      </c>
      <c r="C86" s="276" t="s">
        <v>457</v>
      </c>
      <c r="D86" s="169" t="s">
        <v>458</v>
      </c>
      <c r="E86" s="190" t="s">
        <v>36</v>
      </c>
      <c r="F86" s="170" t="s">
        <v>37</v>
      </c>
      <c r="G86" s="187" t="s">
        <v>459</v>
      </c>
      <c r="H86" s="188" t="s">
        <v>39</v>
      </c>
      <c r="I86" s="218" t="s">
        <v>460</v>
      </c>
      <c r="J86" s="213" t="s">
        <v>461</v>
      </c>
      <c r="K86" s="211" t="s">
        <v>462</v>
      </c>
      <c r="L86" s="209">
        <v>2022</v>
      </c>
      <c r="M86" s="209" t="s">
        <v>43</v>
      </c>
      <c r="N86" s="209" t="s">
        <v>44</v>
      </c>
      <c r="O86" s="209" t="s">
        <v>45</v>
      </c>
    </row>
    <row r="87" spans="1:35" s="96" customFormat="1" ht="45" customHeight="1">
      <c r="A87" s="167">
        <v>73</v>
      </c>
      <c r="B87" s="167">
        <v>222310071</v>
      </c>
      <c r="C87" s="276" t="s">
        <v>463</v>
      </c>
      <c r="D87" s="170" t="s">
        <v>464</v>
      </c>
      <c r="E87" s="190" t="s">
        <v>36</v>
      </c>
      <c r="F87" s="170" t="s">
        <v>37</v>
      </c>
      <c r="G87" s="187" t="s">
        <v>465</v>
      </c>
      <c r="H87" s="188" t="s">
        <v>39</v>
      </c>
      <c r="I87" s="206" t="s">
        <v>466</v>
      </c>
      <c r="J87" s="213" t="s">
        <v>467</v>
      </c>
      <c r="K87" s="211" t="s">
        <v>468</v>
      </c>
      <c r="L87" s="209">
        <v>2022</v>
      </c>
      <c r="M87" s="209" t="s">
        <v>43</v>
      </c>
      <c r="N87" s="209" t="s">
        <v>44</v>
      </c>
      <c r="O87" s="209" t="s">
        <v>45</v>
      </c>
    </row>
    <row r="88" spans="1:35" s="96" customFormat="1" ht="45" customHeight="1">
      <c r="A88" s="167">
        <v>74</v>
      </c>
      <c r="B88" s="167">
        <v>222310072</v>
      </c>
      <c r="C88" s="276" t="s">
        <v>469</v>
      </c>
      <c r="D88" s="170" t="s">
        <v>470</v>
      </c>
      <c r="E88" s="190" t="s">
        <v>36</v>
      </c>
      <c r="F88" s="170" t="s">
        <v>37</v>
      </c>
      <c r="G88" s="187" t="s">
        <v>471</v>
      </c>
      <c r="H88" s="188" t="s">
        <v>39</v>
      </c>
      <c r="I88" s="212" t="s">
        <v>472</v>
      </c>
      <c r="J88" s="213" t="s">
        <v>473</v>
      </c>
      <c r="K88" s="211" t="s">
        <v>474</v>
      </c>
      <c r="L88" s="209">
        <v>2022</v>
      </c>
      <c r="M88" s="209" t="s">
        <v>43</v>
      </c>
      <c r="N88" s="209" t="s">
        <v>44</v>
      </c>
      <c r="O88" s="209" t="s">
        <v>45</v>
      </c>
    </row>
    <row r="89" spans="1:35" s="96" customFormat="1" ht="45" customHeight="1">
      <c r="A89" s="167">
        <v>75</v>
      </c>
      <c r="B89" s="167">
        <v>222310073</v>
      </c>
      <c r="C89" s="276" t="s">
        <v>475</v>
      </c>
      <c r="D89" s="170" t="s">
        <v>476</v>
      </c>
      <c r="E89" s="186" t="s">
        <v>36</v>
      </c>
      <c r="F89" s="170" t="s">
        <v>37</v>
      </c>
      <c r="G89" s="187" t="s">
        <v>477</v>
      </c>
      <c r="H89" s="188" t="s">
        <v>39</v>
      </c>
      <c r="I89" s="206" t="s">
        <v>478</v>
      </c>
      <c r="J89" s="213" t="s">
        <v>479</v>
      </c>
      <c r="K89" s="208" t="s">
        <v>480</v>
      </c>
      <c r="L89" s="209">
        <v>2022</v>
      </c>
      <c r="M89" s="209" t="s">
        <v>43</v>
      </c>
      <c r="N89" s="209" t="s">
        <v>44</v>
      </c>
      <c r="O89" s="209" t="s">
        <v>45</v>
      </c>
    </row>
    <row r="90" spans="1:35" s="96" customFormat="1" ht="45" customHeight="1">
      <c r="A90" s="167">
        <v>76</v>
      </c>
      <c r="B90" s="167">
        <v>222310075</v>
      </c>
      <c r="C90" s="282" t="s">
        <v>481</v>
      </c>
      <c r="D90" s="172" t="s">
        <v>482</v>
      </c>
      <c r="E90" s="186" t="s">
        <v>36</v>
      </c>
      <c r="F90" s="170" t="s">
        <v>37</v>
      </c>
      <c r="G90" s="283" t="s">
        <v>483</v>
      </c>
      <c r="H90" s="188" t="s">
        <v>39</v>
      </c>
      <c r="I90" s="212" t="s">
        <v>484</v>
      </c>
      <c r="J90" s="215" t="s">
        <v>485</v>
      </c>
      <c r="K90" s="211" t="s">
        <v>486</v>
      </c>
      <c r="L90" s="209">
        <v>2022</v>
      </c>
      <c r="M90" s="209" t="s">
        <v>43</v>
      </c>
      <c r="N90" s="209" t="s">
        <v>44</v>
      </c>
      <c r="O90" s="209" t="s">
        <v>45</v>
      </c>
    </row>
    <row r="91" spans="1:35" s="96" customFormat="1" ht="45" customHeight="1">
      <c r="A91" s="167">
        <v>77</v>
      </c>
      <c r="B91" s="167">
        <v>222310076</v>
      </c>
      <c r="C91" s="276" t="s">
        <v>487</v>
      </c>
      <c r="D91" s="170" t="s">
        <v>488</v>
      </c>
      <c r="E91" s="168" t="s">
        <v>36</v>
      </c>
      <c r="F91" s="170" t="s">
        <v>489</v>
      </c>
      <c r="G91" s="187" t="s">
        <v>490</v>
      </c>
      <c r="H91" s="188" t="s">
        <v>39</v>
      </c>
      <c r="I91" s="206" t="s">
        <v>491</v>
      </c>
      <c r="J91" s="210" t="s">
        <v>492</v>
      </c>
      <c r="K91" s="208" t="s">
        <v>493</v>
      </c>
      <c r="L91" s="209">
        <v>2022</v>
      </c>
      <c r="M91" s="209" t="s">
        <v>43</v>
      </c>
      <c r="N91" s="209" t="s">
        <v>44</v>
      </c>
      <c r="O91" s="209" t="s">
        <v>45</v>
      </c>
    </row>
    <row r="92" spans="1:35" s="96" customFormat="1" ht="45" customHeight="1">
      <c r="A92" s="167">
        <v>78</v>
      </c>
      <c r="B92" s="167">
        <v>222310140</v>
      </c>
      <c r="C92" s="276" t="s">
        <v>494</v>
      </c>
      <c r="D92" s="171" t="s">
        <v>495</v>
      </c>
      <c r="E92" s="195" t="s">
        <v>36</v>
      </c>
      <c r="F92" s="170" t="s">
        <v>37</v>
      </c>
      <c r="G92" s="192" t="s">
        <v>496</v>
      </c>
      <c r="H92" s="188" t="s">
        <v>39</v>
      </c>
      <c r="I92" s="206" t="s">
        <v>497</v>
      </c>
      <c r="J92" s="210" t="s">
        <v>498</v>
      </c>
      <c r="K92" s="208" t="s">
        <v>499</v>
      </c>
      <c r="L92" s="209">
        <v>2021</v>
      </c>
      <c r="M92" s="209" t="s">
        <v>43</v>
      </c>
      <c r="N92" s="209" t="s">
        <v>44</v>
      </c>
      <c r="O92" s="209" t="s">
        <v>45</v>
      </c>
    </row>
    <row r="93" spans="1:35" s="96" customFormat="1" ht="45" customHeight="1">
      <c r="A93" s="167">
        <v>79</v>
      </c>
      <c r="B93" s="167">
        <v>222310077</v>
      </c>
      <c r="C93" s="276" t="s">
        <v>500</v>
      </c>
      <c r="D93" s="169" t="s">
        <v>501</v>
      </c>
      <c r="E93" s="186" t="s">
        <v>36</v>
      </c>
      <c r="F93" s="170" t="s">
        <v>37</v>
      </c>
      <c r="G93" s="187" t="s">
        <v>502</v>
      </c>
      <c r="H93" s="188" t="s">
        <v>39</v>
      </c>
      <c r="I93" s="206" t="s">
        <v>503</v>
      </c>
      <c r="J93" s="213" t="s">
        <v>419</v>
      </c>
      <c r="K93" s="208" t="s">
        <v>504</v>
      </c>
      <c r="L93" s="209">
        <v>2022</v>
      </c>
      <c r="M93" s="209" t="s">
        <v>43</v>
      </c>
      <c r="N93" s="209" t="s">
        <v>44</v>
      </c>
      <c r="O93" s="209" t="s">
        <v>45</v>
      </c>
    </row>
    <row r="94" spans="1:35" s="96" customFormat="1" ht="45" customHeight="1">
      <c r="A94" s="167">
        <v>80</v>
      </c>
      <c r="B94" s="167">
        <v>222310078</v>
      </c>
      <c r="C94" s="276" t="s">
        <v>505</v>
      </c>
      <c r="D94" s="170" t="s">
        <v>506</v>
      </c>
      <c r="E94" s="186" t="s">
        <v>36</v>
      </c>
      <c r="F94" s="170" t="s">
        <v>37</v>
      </c>
      <c r="G94" s="278" t="s">
        <v>507</v>
      </c>
      <c r="H94" s="188" t="s">
        <v>39</v>
      </c>
      <c r="I94" s="212" t="s">
        <v>508</v>
      </c>
      <c r="J94" s="213" t="s">
        <v>425</v>
      </c>
      <c r="K94" s="208" t="s">
        <v>509</v>
      </c>
      <c r="L94" s="209">
        <v>2022</v>
      </c>
      <c r="M94" s="209" t="s">
        <v>43</v>
      </c>
      <c r="N94" s="209" t="s">
        <v>44</v>
      </c>
      <c r="O94" s="209" t="s">
        <v>45</v>
      </c>
    </row>
    <row r="95" spans="1:35" s="96" customFormat="1" ht="45" customHeight="1">
      <c r="A95" s="167">
        <v>81</v>
      </c>
      <c r="B95" s="167">
        <v>222310079</v>
      </c>
      <c r="C95" s="276" t="s">
        <v>510</v>
      </c>
      <c r="D95" s="171" t="s">
        <v>511</v>
      </c>
      <c r="E95" s="196" t="s">
        <v>36</v>
      </c>
      <c r="F95" s="170" t="s">
        <v>37</v>
      </c>
      <c r="G95" s="187" t="s">
        <v>265</v>
      </c>
      <c r="H95" s="188" t="s">
        <v>39</v>
      </c>
      <c r="I95" s="212" t="s">
        <v>512</v>
      </c>
      <c r="J95" s="213" t="s">
        <v>513</v>
      </c>
      <c r="K95" s="219" t="s">
        <v>514</v>
      </c>
      <c r="L95" s="209">
        <v>2022</v>
      </c>
      <c r="M95" s="209" t="s">
        <v>43</v>
      </c>
      <c r="N95" s="209" t="s">
        <v>44</v>
      </c>
      <c r="O95" s="209" t="s">
        <v>45</v>
      </c>
    </row>
    <row r="96" spans="1:35" s="97" customFormat="1" ht="45" customHeight="1">
      <c r="A96" s="173" t="s">
        <v>515</v>
      </c>
      <c r="B96" s="174"/>
      <c r="C96" s="174"/>
      <c r="D96" s="175"/>
      <c r="E96" s="174"/>
      <c r="F96" s="175"/>
      <c r="G96" s="197"/>
      <c r="H96" s="174"/>
      <c r="I96" s="220"/>
      <c r="J96" s="174"/>
      <c r="K96" s="174"/>
      <c r="L96" s="174"/>
      <c r="M96" s="174"/>
      <c r="N96" s="174"/>
      <c r="O96" s="174"/>
      <c r="P96" s="174"/>
      <c r="Q96" s="231"/>
      <c r="R96" s="231"/>
      <c r="S96" s="231"/>
      <c r="T96" s="231"/>
      <c r="U96" s="231"/>
      <c r="V96" s="231"/>
      <c r="W96" s="231"/>
      <c r="X96" s="231"/>
      <c r="Y96" s="231"/>
      <c r="Z96" s="231"/>
      <c r="AA96" s="231"/>
      <c r="AB96" s="231"/>
      <c r="AC96" s="231"/>
      <c r="AD96" s="231"/>
      <c r="AE96" s="231"/>
      <c r="AF96" s="231"/>
      <c r="AG96" s="231"/>
      <c r="AH96" s="231"/>
      <c r="AI96" s="231"/>
    </row>
    <row r="97" spans="1:35" s="98" customFormat="1" ht="45" customHeight="1">
      <c r="A97" s="99">
        <v>82</v>
      </c>
      <c r="B97" s="176">
        <v>222310080</v>
      </c>
      <c r="C97" s="284" t="s">
        <v>516</v>
      </c>
      <c r="D97" s="178" t="s">
        <v>517</v>
      </c>
      <c r="E97" s="177" t="s">
        <v>518</v>
      </c>
      <c r="F97" s="198" t="s">
        <v>519</v>
      </c>
      <c r="G97" s="199" t="s">
        <v>520</v>
      </c>
      <c r="H97" s="200" t="s">
        <v>39</v>
      </c>
      <c r="I97" s="221" t="s">
        <v>521</v>
      </c>
      <c r="J97" s="222" t="s">
        <v>522</v>
      </c>
      <c r="K97" s="223" t="s">
        <v>523</v>
      </c>
      <c r="L97" s="99">
        <v>2022</v>
      </c>
      <c r="M97" s="99" t="s">
        <v>43</v>
      </c>
      <c r="N97" s="99" t="s">
        <v>44</v>
      </c>
      <c r="O97" s="99" t="s">
        <v>45</v>
      </c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</row>
    <row r="98" spans="1:35" s="98" customFormat="1" ht="45" customHeight="1">
      <c r="A98" s="99">
        <v>83</v>
      </c>
      <c r="B98" s="99">
        <v>222310081</v>
      </c>
      <c r="C98" s="285" t="s">
        <v>524</v>
      </c>
      <c r="D98" s="180" t="s">
        <v>525</v>
      </c>
      <c r="E98" s="99" t="s">
        <v>518</v>
      </c>
      <c r="F98" s="201" t="s">
        <v>519</v>
      </c>
      <c r="G98" s="202" t="s">
        <v>526</v>
      </c>
      <c r="H98" s="200" t="s">
        <v>39</v>
      </c>
      <c r="I98" s="224" t="s">
        <v>527</v>
      </c>
      <c r="J98" s="225" t="s">
        <v>528</v>
      </c>
      <c r="K98" s="223" t="s">
        <v>529</v>
      </c>
      <c r="L98" s="99">
        <v>2022</v>
      </c>
      <c r="M98" s="99" t="s">
        <v>43</v>
      </c>
      <c r="N98" s="99" t="s">
        <v>44</v>
      </c>
      <c r="O98" s="99" t="s">
        <v>45</v>
      </c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</row>
    <row r="99" spans="1:35" s="98" customFormat="1" ht="45" customHeight="1">
      <c r="A99" s="99">
        <v>84</v>
      </c>
      <c r="B99" s="99">
        <v>222310082</v>
      </c>
      <c r="C99" s="285" t="s">
        <v>530</v>
      </c>
      <c r="D99" s="178" t="s">
        <v>531</v>
      </c>
      <c r="E99" s="179" t="s">
        <v>518</v>
      </c>
      <c r="F99" s="203" t="s">
        <v>519</v>
      </c>
      <c r="G99" s="199" t="s">
        <v>532</v>
      </c>
      <c r="H99" s="200" t="s">
        <v>39</v>
      </c>
      <c r="I99" s="226" t="s">
        <v>533</v>
      </c>
      <c r="J99" s="227" t="s">
        <v>534</v>
      </c>
      <c r="K99" s="223" t="s">
        <v>535</v>
      </c>
      <c r="L99" s="99">
        <v>2022</v>
      </c>
      <c r="M99" s="99" t="s">
        <v>43</v>
      </c>
      <c r="N99" s="99" t="s">
        <v>44</v>
      </c>
      <c r="O99" s="99" t="s">
        <v>45</v>
      </c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230"/>
      <c r="AE99" s="230"/>
      <c r="AF99" s="230"/>
      <c r="AG99" s="230"/>
      <c r="AH99" s="230"/>
      <c r="AI99" s="230"/>
    </row>
    <row r="100" spans="1:35" s="98" customFormat="1" ht="45" customHeight="1">
      <c r="A100" s="99">
        <v>85</v>
      </c>
      <c r="B100" s="99">
        <v>222310083</v>
      </c>
      <c r="C100" s="284" t="s">
        <v>536</v>
      </c>
      <c r="D100" s="178" t="s">
        <v>537</v>
      </c>
      <c r="E100" s="179" t="s">
        <v>36</v>
      </c>
      <c r="F100" s="203" t="s">
        <v>538</v>
      </c>
      <c r="G100" s="199">
        <v>39024</v>
      </c>
      <c r="H100" s="200" t="s">
        <v>39</v>
      </c>
      <c r="I100" s="226" t="s">
        <v>539</v>
      </c>
      <c r="J100" s="227" t="s">
        <v>540</v>
      </c>
      <c r="K100" s="223" t="s">
        <v>541</v>
      </c>
      <c r="L100" s="99">
        <v>2022</v>
      </c>
      <c r="M100" s="99" t="s">
        <v>43</v>
      </c>
      <c r="N100" s="99" t="s">
        <v>44</v>
      </c>
      <c r="O100" s="99" t="s">
        <v>45</v>
      </c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0"/>
      <c r="AF100" s="230"/>
      <c r="AG100" s="230"/>
      <c r="AH100" s="230"/>
      <c r="AI100" s="230"/>
    </row>
    <row r="101" spans="1:35" s="98" customFormat="1" ht="45" customHeight="1">
      <c r="A101" s="99">
        <v>86</v>
      </c>
      <c r="B101" s="99">
        <v>222310084</v>
      </c>
      <c r="C101" s="285" t="s">
        <v>542</v>
      </c>
      <c r="D101" s="178" t="s">
        <v>543</v>
      </c>
      <c r="E101" s="179" t="s">
        <v>518</v>
      </c>
      <c r="F101" s="203" t="s">
        <v>519</v>
      </c>
      <c r="G101" s="199" t="s">
        <v>271</v>
      </c>
      <c r="H101" s="200" t="s">
        <v>39</v>
      </c>
      <c r="I101" s="224" t="s">
        <v>544</v>
      </c>
      <c r="J101" s="225" t="s">
        <v>545</v>
      </c>
      <c r="K101" s="223" t="s">
        <v>546</v>
      </c>
      <c r="L101" s="99">
        <v>2022</v>
      </c>
      <c r="M101" s="99" t="s">
        <v>43</v>
      </c>
      <c r="N101" s="99" t="s">
        <v>44</v>
      </c>
      <c r="O101" s="99" t="s">
        <v>45</v>
      </c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  <c r="AA101" s="230"/>
      <c r="AB101" s="230"/>
      <c r="AC101" s="230"/>
      <c r="AD101" s="230"/>
      <c r="AE101" s="230"/>
      <c r="AF101" s="230"/>
      <c r="AG101" s="230"/>
      <c r="AH101" s="230"/>
      <c r="AI101" s="230"/>
    </row>
    <row r="102" spans="1:35" s="98" customFormat="1" ht="45" customHeight="1">
      <c r="A102" s="99">
        <v>87</v>
      </c>
      <c r="B102" s="99">
        <v>222310085</v>
      </c>
      <c r="C102" s="285" t="s">
        <v>547</v>
      </c>
      <c r="D102" s="178" t="s">
        <v>548</v>
      </c>
      <c r="E102" s="179" t="s">
        <v>518</v>
      </c>
      <c r="F102" s="203" t="s">
        <v>519</v>
      </c>
      <c r="G102" s="199" t="s">
        <v>549</v>
      </c>
      <c r="H102" s="200" t="s">
        <v>39</v>
      </c>
      <c r="I102" s="224" t="s">
        <v>550</v>
      </c>
      <c r="J102" s="227" t="s">
        <v>425</v>
      </c>
      <c r="K102" s="223" t="s">
        <v>551</v>
      </c>
      <c r="L102" s="99">
        <v>2022</v>
      </c>
      <c r="M102" s="99" t="s">
        <v>43</v>
      </c>
      <c r="N102" s="99" t="s">
        <v>44</v>
      </c>
      <c r="O102" s="99" t="s">
        <v>45</v>
      </c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  <c r="AA102" s="230"/>
      <c r="AB102" s="230"/>
      <c r="AC102" s="230"/>
      <c r="AD102" s="230"/>
      <c r="AE102" s="230"/>
      <c r="AF102" s="230"/>
      <c r="AG102" s="230"/>
      <c r="AH102" s="230"/>
      <c r="AI102" s="230"/>
    </row>
    <row r="103" spans="1:35" s="98" customFormat="1" ht="45" customHeight="1">
      <c r="A103" s="99">
        <v>88</v>
      </c>
      <c r="B103" s="99">
        <v>222310086</v>
      </c>
      <c r="C103" s="285" t="s">
        <v>552</v>
      </c>
      <c r="D103" s="178" t="s">
        <v>553</v>
      </c>
      <c r="E103" s="179" t="s">
        <v>36</v>
      </c>
      <c r="F103" s="203" t="s">
        <v>519</v>
      </c>
      <c r="G103" s="204" t="s">
        <v>554</v>
      </c>
      <c r="H103" s="200" t="s">
        <v>39</v>
      </c>
      <c r="I103" s="226" t="s">
        <v>555</v>
      </c>
      <c r="J103" s="227" t="s">
        <v>556</v>
      </c>
      <c r="K103" s="223" t="s">
        <v>557</v>
      </c>
      <c r="L103" s="99">
        <v>2022</v>
      </c>
      <c r="M103" s="99" t="s">
        <v>43</v>
      </c>
      <c r="N103" s="99" t="s">
        <v>44</v>
      </c>
      <c r="O103" s="99" t="s">
        <v>45</v>
      </c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</row>
    <row r="104" spans="1:35" s="98" customFormat="1" ht="45" customHeight="1">
      <c r="A104" s="99">
        <v>89</v>
      </c>
      <c r="B104" s="99">
        <v>222310087</v>
      </c>
      <c r="C104" s="285" t="s">
        <v>558</v>
      </c>
      <c r="D104" s="178" t="s">
        <v>559</v>
      </c>
      <c r="E104" s="179" t="s">
        <v>518</v>
      </c>
      <c r="F104" s="203" t="s">
        <v>519</v>
      </c>
      <c r="G104" s="199" t="s">
        <v>560</v>
      </c>
      <c r="H104" s="200" t="s">
        <v>39</v>
      </c>
      <c r="I104" s="226" t="s">
        <v>106</v>
      </c>
      <c r="J104" s="227" t="s">
        <v>561</v>
      </c>
      <c r="K104" s="223" t="s">
        <v>562</v>
      </c>
      <c r="L104" s="99">
        <v>2022</v>
      </c>
      <c r="M104" s="99" t="s">
        <v>43</v>
      </c>
      <c r="N104" s="99" t="s">
        <v>44</v>
      </c>
      <c r="O104" s="99" t="s">
        <v>45</v>
      </c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230"/>
    </row>
    <row r="105" spans="1:35" s="98" customFormat="1" ht="45" customHeight="1">
      <c r="A105" s="99">
        <v>90</v>
      </c>
      <c r="B105" s="99">
        <v>222310088</v>
      </c>
      <c r="C105" s="285" t="s">
        <v>563</v>
      </c>
      <c r="D105" s="178" t="s">
        <v>564</v>
      </c>
      <c r="E105" s="179" t="s">
        <v>518</v>
      </c>
      <c r="F105" s="203" t="s">
        <v>519</v>
      </c>
      <c r="G105" s="199" t="s">
        <v>565</v>
      </c>
      <c r="H105" s="200" t="s">
        <v>39</v>
      </c>
      <c r="I105" s="226" t="s">
        <v>566</v>
      </c>
      <c r="J105" s="225" t="s">
        <v>349</v>
      </c>
      <c r="K105" s="223" t="s">
        <v>567</v>
      </c>
      <c r="L105" s="99">
        <v>2022</v>
      </c>
      <c r="M105" s="99" t="s">
        <v>43</v>
      </c>
      <c r="N105" s="99" t="s">
        <v>44</v>
      </c>
      <c r="O105" s="99" t="s">
        <v>45</v>
      </c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  <c r="AA105" s="230"/>
      <c r="AB105" s="230"/>
      <c r="AC105" s="230"/>
      <c r="AD105" s="230"/>
      <c r="AE105" s="230"/>
      <c r="AF105" s="230"/>
      <c r="AG105" s="230"/>
      <c r="AH105" s="230"/>
      <c r="AI105" s="230"/>
    </row>
    <row r="106" spans="1:35" s="98" customFormat="1" ht="45" customHeight="1">
      <c r="A106" s="99">
        <v>91</v>
      </c>
      <c r="B106" s="99">
        <v>222310089</v>
      </c>
      <c r="C106" s="285" t="s">
        <v>568</v>
      </c>
      <c r="D106" s="178" t="s">
        <v>569</v>
      </c>
      <c r="E106" s="179" t="s">
        <v>518</v>
      </c>
      <c r="F106" s="203" t="s">
        <v>519</v>
      </c>
      <c r="G106" s="199" t="s">
        <v>570</v>
      </c>
      <c r="H106" s="200" t="s">
        <v>39</v>
      </c>
      <c r="I106" s="224" t="s">
        <v>571</v>
      </c>
      <c r="J106" s="225" t="s">
        <v>572</v>
      </c>
      <c r="K106" s="223" t="s">
        <v>573</v>
      </c>
      <c r="L106" s="99">
        <v>2022</v>
      </c>
      <c r="M106" s="99" t="s">
        <v>43</v>
      </c>
      <c r="N106" s="99" t="s">
        <v>44</v>
      </c>
      <c r="O106" s="99" t="s">
        <v>45</v>
      </c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  <c r="AA106" s="230"/>
      <c r="AB106" s="230"/>
      <c r="AC106" s="230"/>
      <c r="AD106" s="230"/>
      <c r="AE106" s="230"/>
      <c r="AF106" s="230"/>
      <c r="AG106" s="230"/>
      <c r="AH106" s="230"/>
      <c r="AI106" s="230"/>
    </row>
    <row r="107" spans="1:35" s="98" customFormat="1" ht="45" customHeight="1">
      <c r="A107" s="99">
        <v>92</v>
      </c>
      <c r="B107" s="99">
        <v>222310090</v>
      </c>
      <c r="C107" s="285" t="s">
        <v>574</v>
      </c>
      <c r="D107" s="178" t="s">
        <v>575</v>
      </c>
      <c r="E107" s="179" t="s">
        <v>518</v>
      </c>
      <c r="F107" s="203" t="s">
        <v>576</v>
      </c>
      <c r="G107" s="199" t="s">
        <v>577</v>
      </c>
      <c r="H107" s="200" t="s">
        <v>39</v>
      </c>
      <c r="I107" s="224" t="s">
        <v>578</v>
      </c>
      <c r="J107" s="227" t="s">
        <v>579</v>
      </c>
      <c r="K107" s="223" t="s">
        <v>580</v>
      </c>
      <c r="L107" s="99">
        <v>2022</v>
      </c>
      <c r="M107" s="99" t="s">
        <v>43</v>
      </c>
      <c r="N107" s="99" t="s">
        <v>44</v>
      </c>
      <c r="O107" s="99" t="s">
        <v>45</v>
      </c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  <c r="AA107" s="230"/>
      <c r="AB107" s="230"/>
      <c r="AC107" s="230"/>
      <c r="AD107" s="230"/>
      <c r="AE107" s="230"/>
      <c r="AF107" s="230"/>
      <c r="AG107" s="230"/>
      <c r="AH107" s="230"/>
      <c r="AI107" s="230"/>
    </row>
    <row r="108" spans="1:35" s="98" customFormat="1" ht="45" customHeight="1">
      <c r="A108" s="99">
        <v>93</v>
      </c>
      <c r="B108" s="99">
        <v>222310091</v>
      </c>
      <c r="C108" s="285" t="s">
        <v>581</v>
      </c>
      <c r="D108" s="178" t="s">
        <v>582</v>
      </c>
      <c r="E108" s="179" t="s">
        <v>36</v>
      </c>
      <c r="F108" s="203" t="s">
        <v>519</v>
      </c>
      <c r="G108" s="199" t="s">
        <v>583</v>
      </c>
      <c r="H108" s="200" t="s">
        <v>39</v>
      </c>
      <c r="I108" s="224" t="s">
        <v>584</v>
      </c>
      <c r="J108" s="227" t="s">
        <v>585</v>
      </c>
      <c r="K108" s="223" t="s">
        <v>586</v>
      </c>
      <c r="L108" s="99">
        <v>2022</v>
      </c>
      <c r="M108" s="99" t="s">
        <v>43</v>
      </c>
      <c r="N108" s="99" t="s">
        <v>44</v>
      </c>
      <c r="O108" s="99" t="s">
        <v>45</v>
      </c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  <c r="AA108" s="230"/>
      <c r="AB108" s="230"/>
      <c r="AC108" s="230"/>
      <c r="AD108" s="230"/>
      <c r="AE108" s="230"/>
      <c r="AF108" s="230"/>
      <c r="AG108" s="230"/>
      <c r="AH108" s="230"/>
      <c r="AI108" s="230"/>
    </row>
    <row r="109" spans="1:35" s="98" customFormat="1" ht="45" customHeight="1">
      <c r="A109" s="99">
        <v>94</v>
      </c>
      <c r="B109" s="99">
        <v>222310092</v>
      </c>
      <c r="C109" s="285" t="s">
        <v>587</v>
      </c>
      <c r="D109" s="178" t="s">
        <v>588</v>
      </c>
      <c r="E109" s="179" t="s">
        <v>36</v>
      </c>
      <c r="F109" s="203" t="s">
        <v>519</v>
      </c>
      <c r="G109" s="199" t="s">
        <v>589</v>
      </c>
      <c r="H109" s="200" t="s">
        <v>39</v>
      </c>
      <c r="I109" s="224" t="s">
        <v>590</v>
      </c>
      <c r="J109" s="225" t="s">
        <v>591</v>
      </c>
      <c r="K109" s="228" t="s">
        <v>592</v>
      </c>
      <c r="L109" s="99">
        <v>2022</v>
      </c>
      <c r="M109" s="99" t="s">
        <v>43</v>
      </c>
      <c r="N109" s="99" t="s">
        <v>44</v>
      </c>
      <c r="O109" s="99" t="s">
        <v>45</v>
      </c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  <c r="AA109" s="230"/>
      <c r="AB109" s="230"/>
      <c r="AC109" s="230"/>
      <c r="AD109" s="230"/>
      <c r="AE109" s="230"/>
      <c r="AF109" s="230"/>
      <c r="AG109" s="230"/>
      <c r="AH109" s="230"/>
      <c r="AI109" s="230"/>
    </row>
    <row r="110" spans="1:35" s="98" customFormat="1" ht="45" customHeight="1">
      <c r="A110" s="99">
        <v>95</v>
      </c>
      <c r="B110" s="99">
        <v>222310093</v>
      </c>
      <c r="C110" s="285" t="s">
        <v>593</v>
      </c>
      <c r="D110" s="178" t="s">
        <v>594</v>
      </c>
      <c r="E110" s="179" t="s">
        <v>518</v>
      </c>
      <c r="F110" s="203" t="s">
        <v>519</v>
      </c>
      <c r="G110" s="286" t="s">
        <v>595</v>
      </c>
      <c r="H110" s="200" t="s">
        <v>39</v>
      </c>
      <c r="I110" s="224" t="s">
        <v>596</v>
      </c>
      <c r="J110" s="227" t="s">
        <v>561</v>
      </c>
      <c r="K110" s="228" t="s">
        <v>597</v>
      </c>
      <c r="L110" s="99">
        <v>2022</v>
      </c>
      <c r="M110" s="99" t="s">
        <v>43</v>
      </c>
      <c r="N110" s="99" t="s">
        <v>44</v>
      </c>
      <c r="O110" s="99" t="s">
        <v>45</v>
      </c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  <c r="AA110" s="230"/>
      <c r="AB110" s="230"/>
      <c r="AC110" s="230"/>
      <c r="AD110" s="230"/>
      <c r="AE110" s="230"/>
      <c r="AF110" s="230"/>
      <c r="AG110" s="230"/>
      <c r="AH110" s="230"/>
      <c r="AI110" s="230"/>
    </row>
    <row r="111" spans="1:35" s="98" customFormat="1" ht="45" customHeight="1">
      <c r="A111" s="99">
        <v>96</v>
      </c>
      <c r="B111" s="99">
        <v>222310094</v>
      </c>
      <c r="C111" s="285" t="s">
        <v>598</v>
      </c>
      <c r="D111" s="178" t="s">
        <v>599</v>
      </c>
      <c r="E111" s="179" t="s">
        <v>518</v>
      </c>
      <c r="F111" s="203" t="s">
        <v>600</v>
      </c>
      <c r="G111" s="199" t="s">
        <v>601</v>
      </c>
      <c r="H111" s="200" t="s">
        <v>39</v>
      </c>
      <c r="I111" s="226" t="s">
        <v>602</v>
      </c>
      <c r="J111" s="227" t="s">
        <v>603</v>
      </c>
      <c r="K111" s="228" t="s">
        <v>604</v>
      </c>
      <c r="L111" s="99">
        <v>2022</v>
      </c>
      <c r="M111" s="99" t="s">
        <v>43</v>
      </c>
      <c r="N111" s="99" t="s">
        <v>44</v>
      </c>
      <c r="O111" s="99" t="s">
        <v>45</v>
      </c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  <c r="AA111" s="230"/>
      <c r="AB111" s="230"/>
      <c r="AC111" s="230"/>
      <c r="AD111" s="230"/>
      <c r="AE111" s="230"/>
      <c r="AF111" s="230"/>
      <c r="AG111" s="230"/>
      <c r="AH111" s="230"/>
      <c r="AI111" s="230"/>
    </row>
    <row r="112" spans="1:35" s="98" customFormat="1" ht="45" customHeight="1">
      <c r="A112" s="99">
        <v>97</v>
      </c>
      <c r="B112" s="99">
        <v>222310095</v>
      </c>
      <c r="C112" s="285" t="s">
        <v>605</v>
      </c>
      <c r="D112" s="178" t="s">
        <v>606</v>
      </c>
      <c r="E112" s="179" t="s">
        <v>36</v>
      </c>
      <c r="F112" s="203" t="s">
        <v>519</v>
      </c>
      <c r="G112" s="199">
        <v>39202</v>
      </c>
      <c r="H112" s="200" t="s">
        <v>39</v>
      </c>
      <c r="I112" s="224" t="s">
        <v>607</v>
      </c>
      <c r="J112" s="227" t="s">
        <v>585</v>
      </c>
      <c r="K112" s="223" t="s">
        <v>608</v>
      </c>
      <c r="L112" s="99">
        <v>2022</v>
      </c>
      <c r="M112" s="99" t="s">
        <v>43</v>
      </c>
      <c r="N112" s="99" t="s">
        <v>44</v>
      </c>
      <c r="O112" s="99" t="s">
        <v>45</v>
      </c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  <c r="AA112" s="230"/>
      <c r="AB112" s="230"/>
      <c r="AC112" s="230"/>
      <c r="AD112" s="230"/>
      <c r="AE112" s="230"/>
      <c r="AF112" s="230"/>
      <c r="AG112" s="230"/>
      <c r="AH112" s="230"/>
      <c r="AI112" s="230"/>
    </row>
    <row r="113" spans="1:35" s="98" customFormat="1" ht="45" customHeight="1">
      <c r="A113" s="99">
        <v>98</v>
      </c>
      <c r="B113" s="99">
        <v>222310096</v>
      </c>
      <c r="C113" s="285" t="s">
        <v>609</v>
      </c>
      <c r="D113" s="178" t="s">
        <v>610</v>
      </c>
      <c r="E113" s="179" t="s">
        <v>36</v>
      </c>
      <c r="F113" s="203" t="s">
        <v>519</v>
      </c>
      <c r="G113" s="199" t="s">
        <v>611</v>
      </c>
      <c r="H113" s="200" t="s">
        <v>39</v>
      </c>
      <c r="I113" s="226" t="s">
        <v>612</v>
      </c>
      <c r="J113" s="225" t="s">
        <v>401</v>
      </c>
      <c r="K113" s="223" t="s">
        <v>613</v>
      </c>
      <c r="L113" s="99">
        <v>2022</v>
      </c>
      <c r="M113" s="99" t="s">
        <v>43</v>
      </c>
      <c r="N113" s="99" t="s">
        <v>44</v>
      </c>
      <c r="O113" s="99" t="s">
        <v>45</v>
      </c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  <c r="AA113" s="230"/>
      <c r="AB113" s="230"/>
      <c r="AC113" s="230"/>
      <c r="AD113" s="230"/>
      <c r="AE113" s="230"/>
      <c r="AF113" s="230"/>
      <c r="AG113" s="230"/>
      <c r="AH113" s="230"/>
      <c r="AI113" s="230"/>
    </row>
    <row r="114" spans="1:35" s="98" customFormat="1" ht="45" customHeight="1">
      <c r="A114" s="99">
        <v>99</v>
      </c>
      <c r="B114" s="99">
        <v>222310097</v>
      </c>
      <c r="C114" s="285" t="s">
        <v>614</v>
      </c>
      <c r="D114" s="178" t="s">
        <v>615</v>
      </c>
      <c r="E114" s="179" t="s">
        <v>518</v>
      </c>
      <c r="F114" s="203" t="s">
        <v>519</v>
      </c>
      <c r="G114" s="204" t="s">
        <v>616</v>
      </c>
      <c r="H114" s="200" t="s">
        <v>39</v>
      </c>
      <c r="I114" s="226" t="s">
        <v>617</v>
      </c>
      <c r="J114" s="227" t="s">
        <v>337</v>
      </c>
      <c r="K114" s="223" t="s">
        <v>618</v>
      </c>
      <c r="L114" s="99">
        <v>2022</v>
      </c>
      <c r="M114" s="99" t="s">
        <v>43</v>
      </c>
      <c r="N114" s="99" t="s">
        <v>44</v>
      </c>
      <c r="O114" s="99" t="s">
        <v>45</v>
      </c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230"/>
      <c r="AD114" s="230"/>
      <c r="AE114" s="230"/>
      <c r="AF114" s="230"/>
      <c r="AG114" s="230"/>
      <c r="AH114" s="230"/>
      <c r="AI114" s="230"/>
    </row>
    <row r="115" spans="1:35" s="98" customFormat="1" ht="45" customHeight="1">
      <c r="A115" s="99">
        <v>100</v>
      </c>
      <c r="B115" s="99">
        <v>222310143</v>
      </c>
      <c r="C115" s="285" t="s">
        <v>619</v>
      </c>
      <c r="D115" s="178" t="s">
        <v>620</v>
      </c>
      <c r="E115" s="179" t="s">
        <v>518</v>
      </c>
      <c r="F115" s="203" t="s">
        <v>621</v>
      </c>
      <c r="G115" s="199" t="s">
        <v>622</v>
      </c>
      <c r="H115" s="200" t="s">
        <v>39</v>
      </c>
      <c r="I115" s="226" t="s">
        <v>623</v>
      </c>
      <c r="J115" s="227" t="s">
        <v>624</v>
      </c>
      <c r="K115" s="223" t="s">
        <v>625</v>
      </c>
      <c r="L115" s="99">
        <v>2022</v>
      </c>
      <c r="M115" s="99" t="s">
        <v>43</v>
      </c>
      <c r="N115" s="99" t="s">
        <v>44</v>
      </c>
      <c r="O115" s="99" t="s">
        <v>45</v>
      </c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  <c r="AA115" s="230"/>
      <c r="AB115" s="230"/>
      <c r="AC115" s="230"/>
      <c r="AD115" s="230"/>
      <c r="AE115" s="230"/>
      <c r="AF115" s="230"/>
      <c r="AG115" s="230"/>
      <c r="AH115" s="230"/>
      <c r="AI115" s="230"/>
    </row>
    <row r="116" spans="1:35" s="98" customFormat="1" ht="45" customHeight="1">
      <c r="A116" s="99">
        <v>101</v>
      </c>
      <c r="B116" s="99">
        <v>222310098</v>
      </c>
      <c r="C116" s="285" t="s">
        <v>626</v>
      </c>
      <c r="D116" s="178" t="s">
        <v>627</v>
      </c>
      <c r="E116" s="179" t="s">
        <v>518</v>
      </c>
      <c r="F116" s="203" t="s">
        <v>519</v>
      </c>
      <c r="G116" s="199" t="s">
        <v>628</v>
      </c>
      <c r="H116" s="200" t="s">
        <v>39</v>
      </c>
      <c r="I116" s="224" t="s">
        <v>629</v>
      </c>
      <c r="J116" s="227" t="s">
        <v>337</v>
      </c>
      <c r="K116" s="223" t="s">
        <v>630</v>
      </c>
      <c r="L116" s="99">
        <v>2022</v>
      </c>
      <c r="M116" s="99" t="s">
        <v>43</v>
      </c>
      <c r="N116" s="99" t="s">
        <v>44</v>
      </c>
      <c r="O116" s="99" t="s">
        <v>45</v>
      </c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0"/>
      <c r="AA116" s="230"/>
      <c r="AB116" s="230"/>
      <c r="AC116" s="230"/>
      <c r="AD116" s="230"/>
      <c r="AE116" s="230"/>
      <c r="AF116" s="230"/>
      <c r="AG116" s="230"/>
      <c r="AH116" s="230"/>
      <c r="AI116" s="230"/>
    </row>
    <row r="117" spans="1:35" s="98" customFormat="1" ht="45" customHeight="1">
      <c r="A117" s="99">
        <v>102</v>
      </c>
      <c r="B117" s="99">
        <v>222310099</v>
      </c>
      <c r="C117" s="285" t="s">
        <v>631</v>
      </c>
      <c r="D117" s="178" t="s">
        <v>632</v>
      </c>
      <c r="E117" s="179" t="s">
        <v>518</v>
      </c>
      <c r="F117" s="203" t="s">
        <v>519</v>
      </c>
      <c r="G117" s="287" t="s">
        <v>633</v>
      </c>
      <c r="H117" s="200" t="s">
        <v>39</v>
      </c>
      <c r="I117" s="226" t="s">
        <v>634</v>
      </c>
      <c r="J117" s="227" t="s">
        <v>401</v>
      </c>
      <c r="K117" s="223" t="s">
        <v>635</v>
      </c>
      <c r="L117" s="99">
        <v>2022</v>
      </c>
      <c r="M117" s="99" t="s">
        <v>43</v>
      </c>
      <c r="N117" s="99" t="s">
        <v>44</v>
      </c>
      <c r="O117" s="99" t="s">
        <v>45</v>
      </c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  <c r="AA117" s="230"/>
      <c r="AB117" s="230"/>
      <c r="AC117" s="230"/>
      <c r="AD117" s="230"/>
      <c r="AE117" s="230"/>
      <c r="AF117" s="230"/>
      <c r="AG117" s="230"/>
      <c r="AH117" s="230"/>
      <c r="AI117" s="230"/>
    </row>
    <row r="118" spans="1:35" s="98" customFormat="1" ht="45" customHeight="1">
      <c r="A118" s="99">
        <v>103</v>
      </c>
      <c r="B118" s="99">
        <v>222310100</v>
      </c>
      <c r="C118" s="285" t="s">
        <v>636</v>
      </c>
      <c r="D118" s="178" t="s">
        <v>637</v>
      </c>
      <c r="E118" s="179" t="s">
        <v>518</v>
      </c>
      <c r="F118" s="203" t="s">
        <v>519</v>
      </c>
      <c r="G118" s="286" t="s">
        <v>638</v>
      </c>
      <c r="H118" s="200" t="s">
        <v>39</v>
      </c>
      <c r="I118" s="224" t="s">
        <v>639</v>
      </c>
      <c r="J118" s="227" t="s">
        <v>467</v>
      </c>
      <c r="K118" s="223" t="s">
        <v>640</v>
      </c>
      <c r="L118" s="99">
        <v>2022</v>
      </c>
      <c r="M118" s="99" t="s">
        <v>43</v>
      </c>
      <c r="N118" s="99" t="s">
        <v>44</v>
      </c>
      <c r="O118" s="99" t="s">
        <v>45</v>
      </c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30"/>
      <c r="AE118" s="230"/>
      <c r="AF118" s="230"/>
      <c r="AG118" s="230"/>
      <c r="AH118" s="230"/>
      <c r="AI118" s="230"/>
    </row>
    <row r="119" spans="1:35" s="98" customFormat="1" ht="45" customHeight="1">
      <c r="A119" s="99">
        <v>104</v>
      </c>
      <c r="B119" s="99">
        <v>222310101</v>
      </c>
      <c r="C119" s="285" t="s">
        <v>641</v>
      </c>
      <c r="D119" s="178" t="s">
        <v>642</v>
      </c>
      <c r="E119" s="179" t="s">
        <v>518</v>
      </c>
      <c r="F119" s="203" t="s">
        <v>519</v>
      </c>
      <c r="G119" s="204" t="s">
        <v>643</v>
      </c>
      <c r="H119" s="200" t="s">
        <v>39</v>
      </c>
      <c r="I119" s="226" t="s">
        <v>644</v>
      </c>
      <c r="J119" s="225" t="s">
        <v>645</v>
      </c>
      <c r="K119" s="223" t="s">
        <v>646</v>
      </c>
      <c r="L119" s="99">
        <v>2022</v>
      </c>
      <c r="M119" s="99" t="s">
        <v>43</v>
      </c>
      <c r="N119" s="99" t="s">
        <v>44</v>
      </c>
      <c r="O119" s="99" t="s">
        <v>45</v>
      </c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230"/>
    </row>
    <row r="120" spans="1:35" s="98" customFormat="1" ht="45" customHeight="1">
      <c r="A120" s="99">
        <v>105</v>
      </c>
      <c r="B120" s="99">
        <v>222310102</v>
      </c>
      <c r="C120" s="285" t="s">
        <v>647</v>
      </c>
      <c r="D120" s="178" t="s">
        <v>648</v>
      </c>
      <c r="E120" s="179" t="s">
        <v>518</v>
      </c>
      <c r="F120" s="203" t="s">
        <v>519</v>
      </c>
      <c r="G120" s="204" t="s">
        <v>649</v>
      </c>
      <c r="H120" s="200" t="s">
        <v>39</v>
      </c>
      <c r="I120" s="226" t="s">
        <v>650</v>
      </c>
      <c r="J120" s="227" t="s">
        <v>651</v>
      </c>
      <c r="K120" s="223" t="s">
        <v>652</v>
      </c>
      <c r="L120" s="99">
        <v>2022</v>
      </c>
      <c r="M120" s="99" t="s">
        <v>43</v>
      </c>
      <c r="N120" s="99" t="s">
        <v>44</v>
      </c>
      <c r="O120" s="99" t="s">
        <v>45</v>
      </c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30"/>
      <c r="AE120" s="230"/>
      <c r="AF120" s="230"/>
      <c r="AG120" s="230"/>
      <c r="AH120" s="230"/>
      <c r="AI120" s="230"/>
    </row>
    <row r="121" spans="1:35" s="98" customFormat="1" ht="45" customHeight="1">
      <c r="A121" s="99">
        <v>106</v>
      </c>
      <c r="B121" s="99">
        <v>222310103</v>
      </c>
      <c r="C121" s="285" t="s">
        <v>653</v>
      </c>
      <c r="D121" s="178" t="s">
        <v>654</v>
      </c>
      <c r="E121" s="179" t="s">
        <v>36</v>
      </c>
      <c r="F121" s="203" t="s">
        <v>519</v>
      </c>
      <c r="G121" s="204">
        <v>39406</v>
      </c>
      <c r="H121" s="200" t="s">
        <v>39</v>
      </c>
      <c r="I121" s="226" t="s">
        <v>655</v>
      </c>
      <c r="J121" s="225" t="s">
        <v>656</v>
      </c>
      <c r="K121" s="223" t="s">
        <v>657</v>
      </c>
      <c r="L121" s="99">
        <v>2022</v>
      </c>
      <c r="M121" s="99" t="s">
        <v>43</v>
      </c>
      <c r="N121" s="99" t="s">
        <v>44</v>
      </c>
      <c r="O121" s="99" t="s">
        <v>45</v>
      </c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30"/>
      <c r="AE121" s="230"/>
      <c r="AF121" s="230"/>
      <c r="AG121" s="230"/>
      <c r="AH121" s="230"/>
      <c r="AI121" s="230"/>
    </row>
    <row r="122" spans="1:35" s="98" customFormat="1" ht="45" customHeight="1">
      <c r="A122" s="99">
        <v>107</v>
      </c>
      <c r="B122" s="99">
        <v>222310104</v>
      </c>
      <c r="C122" s="288" t="s">
        <v>658</v>
      </c>
      <c r="D122" s="181" t="s">
        <v>659</v>
      </c>
      <c r="E122" s="179" t="s">
        <v>518</v>
      </c>
      <c r="F122" s="203" t="s">
        <v>660</v>
      </c>
      <c r="G122" s="199" t="s">
        <v>661</v>
      </c>
      <c r="H122" s="200" t="s">
        <v>39</v>
      </c>
      <c r="I122" s="226" t="s">
        <v>662</v>
      </c>
      <c r="J122" s="229" t="s">
        <v>663</v>
      </c>
      <c r="K122" s="223" t="s">
        <v>664</v>
      </c>
      <c r="L122" s="99">
        <v>2022</v>
      </c>
      <c r="M122" s="99" t="s">
        <v>43</v>
      </c>
      <c r="N122" s="99" t="s">
        <v>44</v>
      </c>
      <c r="O122" s="99" t="s">
        <v>45</v>
      </c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  <c r="AA122" s="230"/>
      <c r="AB122" s="230"/>
      <c r="AC122" s="230"/>
      <c r="AD122" s="230"/>
      <c r="AE122" s="230"/>
      <c r="AF122" s="230"/>
      <c r="AG122" s="230"/>
      <c r="AH122" s="230"/>
      <c r="AI122" s="230"/>
    </row>
    <row r="123" spans="1:35" s="98" customFormat="1" ht="45" customHeight="1">
      <c r="A123" s="99">
        <v>108</v>
      </c>
      <c r="B123" s="99">
        <v>222310105</v>
      </c>
      <c r="C123" s="285" t="s">
        <v>665</v>
      </c>
      <c r="D123" s="178" t="s">
        <v>666</v>
      </c>
      <c r="E123" s="179" t="s">
        <v>518</v>
      </c>
      <c r="F123" s="203" t="s">
        <v>519</v>
      </c>
      <c r="G123" s="202" t="s">
        <v>667</v>
      </c>
      <c r="H123" s="200" t="s">
        <v>39</v>
      </c>
      <c r="I123" s="226" t="s">
        <v>668</v>
      </c>
      <c r="J123" s="225" t="s">
        <v>250</v>
      </c>
      <c r="K123" s="223" t="s">
        <v>669</v>
      </c>
      <c r="L123" s="99">
        <v>2022</v>
      </c>
      <c r="M123" s="99" t="s">
        <v>43</v>
      </c>
      <c r="N123" s="99" t="s">
        <v>44</v>
      </c>
      <c r="O123" s="99" t="s">
        <v>45</v>
      </c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</row>
    <row r="124" spans="1:35" s="98" customFormat="1" ht="45" customHeight="1">
      <c r="A124" s="99">
        <v>109</v>
      </c>
      <c r="B124" s="99">
        <v>222310106</v>
      </c>
      <c r="C124" s="285" t="s">
        <v>670</v>
      </c>
      <c r="D124" s="178" t="s">
        <v>671</v>
      </c>
      <c r="E124" s="179" t="s">
        <v>518</v>
      </c>
      <c r="F124" s="203" t="s">
        <v>519</v>
      </c>
      <c r="G124" s="199" t="s">
        <v>672</v>
      </c>
      <c r="H124" s="200" t="s">
        <v>39</v>
      </c>
      <c r="I124" s="224" t="s">
        <v>673</v>
      </c>
      <c r="J124" s="227" t="s">
        <v>674</v>
      </c>
      <c r="K124" s="223" t="s">
        <v>675</v>
      </c>
      <c r="L124" s="99">
        <v>2022</v>
      </c>
      <c r="M124" s="99" t="s">
        <v>43</v>
      </c>
      <c r="N124" s="99" t="s">
        <v>44</v>
      </c>
      <c r="O124" s="99" t="s">
        <v>45</v>
      </c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30"/>
      <c r="AE124" s="230"/>
      <c r="AF124" s="230"/>
      <c r="AG124" s="230"/>
      <c r="AH124" s="230"/>
      <c r="AI124" s="230"/>
    </row>
    <row r="125" spans="1:35" s="98" customFormat="1" ht="45" customHeight="1">
      <c r="A125" s="99">
        <v>110</v>
      </c>
      <c r="B125" s="99">
        <v>222310107</v>
      </c>
      <c r="C125" s="285" t="s">
        <v>676</v>
      </c>
      <c r="D125" s="178" t="s">
        <v>677</v>
      </c>
      <c r="E125" s="179" t="s">
        <v>36</v>
      </c>
      <c r="F125" s="201" t="s">
        <v>519</v>
      </c>
      <c r="G125" s="199">
        <v>39333</v>
      </c>
      <c r="H125" s="200" t="s">
        <v>39</v>
      </c>
      <c r="I125" s="226" t="s">
        <v>678</v>
      </c>
      <c r="J125" s="225" t="s">
        <v>679</v>
      </c>
      <c r="K125" s="223" t="s">
        <v>680</v>
      </c>
      <c r="L125" s="99">
        <v>2022</v>
      </c>
      <c r="M125" s="99" t="s">
        <v>43</v>
      </c>
      <c r="N125" s="99" t="s">
        <v>44</v>
      </c>
      <c r="O125" s="99" t="s">
        <v>45</v>
      </c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  <c r="AA125" s="230"/>
      <c r="AB125" s="230"/>
      <c r="AC125" s="230"/>
      <c r="AD125" s="230"/>
      <c r="AE125" s="230"/>
      <c r="AF125" s="230"/>
      <c r="AG125" s="230"/>
      <c r="AH125" s="230"/>
      <c r="AI125" s="230"/>
    </row>
    <row r="126" spans="1:35" s="98" customFormat="1" ht="45" customHeight="1">
      <c r="A126" s="99">
        <v>111</v>
      </c>
      <c r="B126" s="99">
        <v>222310108</v>
      </c>
      <c r="C126" s="285" t="s">
        <v>681</v>
      </c>
      <c r="D126" s="178" t="s">
        <v>682</v>
      </c>
      <c r="E126" s="179" t="s">
        <v>518</v>
      </c>
      <c r="F126" s="201" t="s">
        <v>519</v>
      </c>
      <c r="G126" s="199" t="s">
        <v>683</v>
      </c>
      <c r="H126" s="200" t="s">
        <v>39</v>
      </c>
      <c r="I126" s="224" t="s">
        <v>684</v>
      </c>
      <c r="J126" s="227" t="s">
        <v>685</v>
      </c>
      <c r="K126" s="223" t="s">
        <v>686</v>
      </c>
      <c r="L126" s="99">
        <v>2022</v>
      </c>
      <c r="M126" s="99" t="s">
        <v>43</v>
      </c>
      <c r="N126" s="99" t="s">
        <v>44</v>
      </c>
      <c r="O126" s="99" t="s">
        <v>45</v>
      </c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30"/>
      <c r="AE126" s="230"/>
      <c r="AF126" s="230"/>
      <c r="AG126" s="230"/>
      <c r="AH126" s="230"/>
      <c r="AI126" s="230"/>
    </row>
    <row r="127" spans="1:35" s="98" customFormat="1" ht="45" customHeight="1">
      <c r="A127" s="99">
        <v>112</v>
      </c>
      <c r="B127" s="99">
        <v>222310109</v>
      </c>
      <c r="C127" s="285" t="s">
        <v>687</v>
      </c>
      <c r="D127" s="178" t="s">
        <v>688</v>
      </c>
      <c r="E127" s="179" t="s">
        <v>518</v>
      </c>
      <c r="F127" s="201" t="s">
        <v>519</v>
      </c>
      <c r="G127" s="199" t="s">
        <v>689</v>
      </c>
      <c r="H127" s="200" t="s">
        <v>39</v>
      </c>
      <c r="I127" s="226" t="s">
        <v>690</v>
      </c>
      <c r="J127" s="227" t="s">
        <v>343</v>
      </c>
      <c r="K127" s="223" t="s">
        <v>691</v>
      </c>
      <c r="L127" s="99">
        <v>2022</v>
      </c>
      <c r="M127" s="99" t="s">
        <v>43</v>
      </c>
      <c r="N127" s="99" t="s">
        <v>44</v>
      </c>
      <c r="O127" s="99" t="s">
        <v>45</v>
      </c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0"/>
      <c r="AH127" s="230"/>
      <c r="AI127" s="230"/>
    </row>
    <row r="128" spans="1:35" s="99" customFormat="1" ht="45" customHeight="1">
      <c r="A128" s="99">
        <v>113</v>
      </c>
      <c r="B128" s="182">
        <v>242512087</v>
      </c>
      <c r="C128" s="182" t="s">
        <v>692</v>
      </c>
      <c r="D128" s="183" t="s">
        <v>693</v>
      </c>
      <c r="E128" s="182" t="s">
        <v>36</v>
      </c>
      <c r="F128" s="183" t="s">
        <v>519</v>
      </c>
      <c r="G128" s="183" t="s">
        <v>694</v>
      </c>
      <c r="H128" s="205" t="s">
        <v>39</v>
      </c>
      <c r="I128" s="183" t="s">
        <v>695</v>
      </c>
      <c r="J128" s="183" t="s">
        <v>696</v>
      </c>
      <c r="K128" s="183" t="s">
        <v>697</v>
      </c>
    </row>
    <row r="129" spans="1:35" s="100" customFormat="1" ht="45" customHeight="1">
      <c r="A129" s="232">
        <v>114</v>
      </c>
      <c r="B129" s="233">
        <v>222310110</v>
      </c>
      <c r="C129" s="289" t="s">
        <v>698</v>
      </c>
      <c r="D129" s="234" t="s">
        <v>699</v>
      </c>
      <c r="E129" s="233" t="s">
        <v>36</v>
      </c>
      <c r="F129" s="234" t="s">
        <v>519</v>
      </c>
      <c r="G129" s="245" t="s">
        <v>700</v>
      </c>
      <c r="H129" s="246" t="s">
        <v>39</v>
      </c>
      <c r="I129" s="249" t="s">
        <v>701</v>
      </c>
      <c r="J129" s="250" t="s">
        <v>702</v>
      </c>
      <c r="K129" s="251" t="s">
        <v>703</v>
      </c>
      <c r="L129" s="252">
        <v>2022</v>
      </c>
      <c r="M129" s="252" t="s">
        <v>43</v>
      </c>
      <c r="N129" s="252" t="s">
        <v>44</v>
      </c>
      <c r="O129" s="252" t="s">
        <v>45</v>
      </c>
      <c r="P129" s="258"/>
      <c r="Q129" s="258"/>
      <c r="R129" s="258"/>
      <c r="S129" s="258"/>
      <c r="T129" s="258"/>
      <c r="U129" s="258"/>
      <c r="V129" s="258"/>
      <c r="W129" s="258"/>
      <c r="X129" s="258"/>
      <c r="Y129" s="258"/>
      <c r="Z129" s="258"/>
      <c r="AA129" s="258"/>
      <c r="AB129" s="258"/>
      <c r="AC129" s="258"/>
      <c r="AD129" s="258"/>
      <c r="AE129" s="258"/>
      <c r="AF129" s="258"/>
      <c r="AG129" s="258"/>
      <c r="AH129" s="258"/>
      <c r="AI129" s="258"/>
    </row>
    <row r="130" spans="1:35" s="100" customFormat="1" ht="45" customHeight="1">
      <c r="A130" s="232">
        <v>115</v>
      </c>
      <c r="B130" s="233">
        <v>222310111</v>
      </c>
      <c r="C130" s="289" t="s">
        <v>704</v>
      </c>
      <c r="D130" s="235" t="s">
        <v>705</v>
      </c>
      <c r="E130" s="233" t="s">
        <v>36</v>
      </c>
      <c r="F130" s="234" t="s">
        <v>519</v>
      </c>
      <c r="G130" s="245" t="s">
        <v>706</v>
      </c>
      <c r="H130" s="246" t="s">
        <v>39</v>
      </c>
      <c r="I130" s="249" t="s">
        <v>707</v>
      </c>
      <c r="J130" s="250" t="s">
        <v>708</v>
      </c>
      <c r="K130" s="251" t="s">
        <v>709</v>
      </c>
      <c r="L130" s="252">
        <v>2022</v>
      </c>
      <c r="M130" s="252" t="s">
        <v>43</v>
      </c>
      <c r="N130" s="252" t="s">
        <v>44</v>
      </c>
      <c r="O130" s="252" t="s">
        <v>45</v>
      </c>
      <c r="P130" s="258"/>
      <c r="Q130" s="258"/>
      <c r="R130" s="258"/>
      <c r="S130" s="258"/>
      <c r="T130" s="258"/>
      <c r="U130" s="258"/>
      <c r="V130" s="258"/>
      <c r="W130" s="258"/>
      <c r="X130" s="258"/>
      <c r="Y130" s="258"/>
      <c r="Z130" s="258"/>
      <c r="AA130" s="258"/>
      <c r="AB130" s="258"/>
      <c r="AC130" s="258"/>
      <c r="AD130" s="258"/>
      <c r="AE130" s="258"/>
      <c r="AF130" s="258"/>
      <c r="AG130" s="258"/>
      <c r="AH130" s="258"/>
      <c r="AI130" s="258"/>
    </row>
    <row r="131" spans="1:35" s="100" customFormat="1" ht="45" customHeight="1">
      <c r="A131" s="232">
        <v>116</v>
      </c>
      <c r="B131" s="233">
        <v>222310113</v>
      </c>
      <c r="C131" s="289" t="s">
        <v>710</v>
      </c>
      <c r="D131" s="235" t="s">
        <v>711</v>
      </c>
      <c r="E131" s="233" t="s">
        <v>518</v>
      </c>
      <c r="F131" s="234" t="s">
        <v>519</v>
      </c>
      <c r="G131" s="245" t="s">
        <v>712</v>
      </c>
      <c r="H131" s="246" t="s">
        <v>39</v>
      </c>
      <c r="I131" s="249" t="s">
        <v>713</v>
      </c>
      <c r="J131" s="250" t="s">
        <v>313</v>
      </c>
      <c r="K131" s="251" t="s">
        <v>714</v>
      </c>
      <c r="L131" s="252">
        <v>2022</v>
      </c>
      <c r="M131" s="252" t="s">
        <v>43</v>
      </c>
      <c r="N131" s="252" t="s">
        <v>44</v>
      </c>
      <c r="O131" s="252" t="s">
        <v>45</v>
      </c>
      <c r="P131" s="258"/>
      <c r="Q131" s="258"/>
      <c r="R131" s="258"/>
      <c r="S131" s="258"/>
      <c r="T131" s="258"/>
      <c r="U131" s="258"/>
      <c r="V131" s="258"/>
      <c r="W131" s="258"/>
      <c r="X131" s="258"/>
      <c r="Y131" s="258"/>
      <c r="Z131" s="258"/>
      <c r="AA131" s="258"/>
      <c r="AB131" s="258"/>
      <c r="AC131" s="258"/>
      <c r="AD131" s="258"/>
      <c r="AE131" s="258"/>
      <c r="AF131" s="258"/>
      <c r="AG131" s="258"/>
      <c r="AH131" s="258"/>
      <c r="AI131" s="258"/>
    </row>
    <row r="132" spans="1:35" s="100" customFormat="1" ht="45" customHeight="1">
      <c r="A132" s="232">
        <v>117</v>
      </c>
      <c r="B132" s="233">
        <v>222310114</v>
      </c>
      <c r="C132" s="289" t="s">
        <v>715</v>
      </c>
      <c r="D132" s="235" t="s">
        <v>716</v>
      </c>
      <c r="E132" s="233" t="s">
        <v>518</v>
      </c>
      <c r="F132" s="234" t="s">
        <v>519</v>
      </c>
      <c r="G132" s="245" t="s">
        <v>717</v>
      </c>
      <c r="H132" s="246" t="s">
        <v>39</v>
      </c>
      <c r="I132" s="249" t="s">
        <v>718</v>
      </c>
      <c r="J132" s="250" t="s">
        <v>579</v>
      </c>
      <c r="K132" s="235" t="s">
        <v>719</v>
      </c>
      <c r="L132" s="252">
        <v>2022</v>
      </c>
      <c r="M132" s="252" t="s">
        <v>43</v>
      </c>
      <c r="N132" s="252" t="s">
        <v>44</v>
      </c>
      <c r="O132" s="252" t="s">
        <v>45</v>
      </c>
      <c r="P132" s="258"/>
      <c r="Q132" s="258"/>
      <c r="R132" s="258"/>
      <c r="S132" s="258"/>
      <c r="T132" s="258"/>
      <c r="U132" s="258"/>
      <c r="V132" s="258"/>
      <c r="W132" s="258"/>
      <c r="X132" s="258"/>
      <c r="Y132" s="258"/>
      <c r="Z132" s="258"/>
      <c r="AA132" s="258"/>
      <c r="AB132" s="258"/>
      <c r="AC132" s="258"/>
      <c r="AD132" s="258"/>
      <c r="AE132" s="258"/>
      <c r="AF132" s="258"/>
      <c r="AG132" s="258"/>
      <c r="AH132" s="258"/>
      <c r="AI132" s="258"/>
    </row>
    <row r="133" spans="1:35" s="100" customFormat="1" ht="45" customHeight="1">
      <c r="A133" s="232">
        <v>118</v>
      </c>
      <c r="B133" s="233">
        <v>222310115</v>
      </c>
      <c r="C133" s="289" t="s">
        <v>720</v>
      </c>
      <c r="D133" s="234" t="s">
        <v>721</v>
      </c>
      <c r="E133" s="233" t="s">
        <v>518</v>
      </c>
      <c r="F133" s="234" t="s">
        <v>519</v>
      </c>
      <c r="G133" s="245" t="s">
        <v>722</v>
      </c>
      <c r="H133" s="246" t="s">
        <v>39</v>
      </c>
      <c r="I133" s="249" t="s">
        <v>723</v>
      </c>
      <c r="J133" s="250" t="s">
        <v>724</v>
      </c>
      <c r="K133" s="251" t="s">
        <v>725</v>
      </c>
      <c r="L133" s="252">
        <v>2022</v>
      </c>
      <c r="M133" s="252" t="s">
        <v>43</v>
      </c>
      <c r="N133" s="252" t="s">
        <v>44</v>
      </c>
      <c r="O133" s="252" t="s">
        <v>45</v>
      </c>
      <c r="P133" s="258"/>
      <c r="Q133" s="258"/>
      <c r="R133" s="258"/>
      <c r="S133" s="258"/>
      <c r="T133" s="258"/>
      <c r="U133" s="258"/>
      <c r="V133" s="258"/>
      <c r="W133" s="258"/>
      <c r="X133" s="258"/>
      <c r="Y133" s="258"/>
      <c r="Z133" s="258"/>
      <c r="AA133" s="258"/>
      <c r="AB133" s="258"/>
      <c r="AC133" s="258"/>
      <c r="AD133" s="258"/>
      <c r="AE133" s="258"/>
      <c r="AF133" s="258"/>
      <c r="AG133" s="258"/>
      <c r="AH133" s="258"/>
      <c r="AI133" s="258"/>
    </row>
    <row r="134" spans="1:35" s="100" customFormat="1" ht="45" customHeight="1">
      <c r="A134" s="232">
        <v>119</v>
      </c>
      <c r="B134" s="233">
        <v>222310116</v>
      </c>
      <c r="C134" s="289" t="s">
        <v>726</v>
      </c>
      <c r="D134" s="236" t="s">
        <v>727</v>
      </c>
      <c r="E134" s="233" t="s">
        <v>36</v>
      </c>
      <c r="F134" s="234" t="s">
        <v>519</v>
      </c>
      <c r="G134" s="245" t="s">
        <v>728</v>
      </c>
      <c r="H134" s="246" t="s">
        <v>39</v>
      </c>
      <c r="I134" s="249" t="s">
        <v>729</v>
      </c>
      <c r="J134" s="250" t="s">
        <v>730</v>
      </c>
      <c r="K134" s="251" t="s">
        <v>731</v>
      </c>
      <c r="L134" s="252">
        <v>2022</v>
      </c>
      <c r="M134" s="252" t="s">
        <v>43</v>
      </c>
      <c r="N134" s="252" t="s">
        <v>44</v>
      </c>
      <c r="O134" s="252" t="s">
        <v>45</v>
      </c>
      <c r="P134" s="258"/>
      <c r="Q134" s="258"/>
      <c r="R134" s="258"/>
      <c r="S134" s="258"/>
      <c r="T134" s="258"/>
      <c r="U134" s="258"/>
      <c r="V134" s="258"/>
      <c r="W134" s="258"/>
      <c r="X134" s="258"/>
      <c r="Y134" s="258"/>
      <c r="Z134" s="258"/>
      <c r="AA134" s="258"/>
      <c r="AB134" s="258"/>
      <c r="AC134" s="258"/>
      <c r="AD134" s="258"/>
      <c r="AE134" s="258"/>
      <c r="AF134" s="258"/>
      <c r="AG134" s="258"/>
      <c r="AH134" s="258"/>
      <c r="AI134" s="258"/>
    </row>
    <row r="135" spans="1:35" s="100" customFormat="1" ht="45" customHeight="1">
      <c r="A135" s="232">
        <v>120</v>
      </c>
      <c r="B135" s="233">
        <v>222310117</v>
      </c>
      <c r="C135" s="289" t="s">
        <v>732</v>
      </c>
      <c r="D135" s="234" t="s">
        <v>733</v>
      </c>
      <c r="E135" s="233" t="s">
        <v>518</v>
      </c>
      <c r="F135" s="234" t="s">
        <v>734</v>
      </c>
      <c r="G135" s="245" t="s">
        <v>633</v>
      </c>
      <c r="H135" s="246" t="s">
        <v>39</v>
      </c>
      <c r="I135" s="249" t="s">
        <v>735</v>
      </c>
      <c r="J135" s="250" t="s">
        <v>736</v>
      </c>
      <c r="K135" s="253" t="s">
        <v>737</v>
      </c>
      <c r="L135" s="252">
        <v>2022</v>
      </c>
      <c r="M135" s="252" t="s">
        <v>43</v>
      </c>
      <c r="N135" s="252" t="s">
        <v>44</v>
      </c>
      <c r="O135" s="252" t="s">
        <v>45</v>
      </c>
      <c r="P135" s="258"/>
      <c r="Q135" s="258"/>
      <c r="R135" s="258"/>
      <c r="S135" s="258"/>
      <c r="T135" s="258"/>
      <c r="U135" s="258"/>
      <c r="V135" s="258"/>
      <c r="W135" s="258"/>
      <c r="X135" s="258"/>
      <c r="Y135" s="258"/>
      <c r="Z135" s="258"/>
      <c r="AA135" s="258"/>
      <c r="AB135" s="258"/>
      <c r="AC135" s="258"/>
      <c r="AD135" s="258"/>
      <c r="AE135" s="258"/>
      <c r="AF135" s="258"/>
      <c r="AG135" s="258"/>
      <c r="AH135" s="258"/>
      <c r="AI135" s="258"/>
    </row>
    <row r="136" spans="1:35" s="100" customFormat="1" ht="45" customHeight="1">
      <c r="A136" s="232">
        <v>121</v>
      </c>
      <c r="B136" s="233">
        <v>222310118</v>
      </c>
      <c r="C136" s="289" t="s">
        <v>738</v>
      </c>
      <c r="D136" s="237" t="s">
        <v>739</v>
      </c>
      <c r="E136" s="233" t="s">
        <v>518</v>
      </c>
      <c r="F136" s="234" t="s">
        <v>538</v>
      </c>
      <c r="G136" s="245" t="s">
        <v>740</v>
      </c>
      <c r="H136" s="246" t="s">
        <v>39</v>
      </c>
      <c r="I136" s="249" t="s">
        <v>741</v>
      </c>
      <c r="J136" s="250" t="s">
        <v>742</v>
      </c>
      <c r="K136" s="251" t="s">
        <v>743</v>
      </c>
      <c r="L136" s="252">
        <v>2022</v>
      </c>
      <c r="M136" s="252" t="s">
        <v>43</v>
      </c>
      <c r="N136" s="252" t="s">
        <v>44</v>
      </c>
      <c r="O136" s="252" t="s">
        <v>45</v>
      </c>
      <c r="P136" s="258"/>
      <c r="Q136" s="258"/>
      <c r="R136" s="258"/>
      <c r="S136" s="258"/>
      <c r="T136" s="258"/>
      <c r="U136" s="258"/>
      <c r="V136" s="258"/>
      <c r="W136" s="258"/>
      <c r="X136" s="258"/>
      <c r="Y136" s="258"/>
      <c r="Z136" s="258"/>
      <c r="AA136" s="258"/>
      <c r="AB136" s="258"/>
      <c r="AC136" s="258"/>
      <c r="AD136" s="258"/>
      <c r="AE136" s="258"/>
      <c r="AF136" s="258"/>
      <c r="AG136" s="258"/>
      <c r="AH136" s="258"/>
      <c r="AI136" s="258"/>
    </row>
    <row r="137" spans="1:35" s="100" customFormat="1" ht="45" customHeight="1">
      <c r="A137" s="232">
        <v>122</v>
      </c>
      <c r="B137" s="233">
        <v>222310119</v>
      </c>
      <c r="C137" s="289" t="s">
        <v>744</v>
      </c>
      <c r="D137" s="234" t="s">
        <v>745</v>
      </c>
      <c r="E137" s="233" t="s">
        <v>518</v>
      </c>
      <c r="F137" s="234" t="s">
        <v>519</v>
      </c>
      <c r="G137" s="245" t="s">
        <v>149</v>
      </c>
      <c r="H137" s="246" t="s">
        <v>39</v>
      </c>
      <c r="I137" s="249" t="s">
        <v>746</v>
      </c>
      <c r="J137" s="250" t="s">
        <v>736</v>
      </c>
      <c r="K137" s="251" t="s">
        <v>747</v>
      </c>
      <c r="L137" s="252">
        <v>2022</v>
      </c>
      <c r="M137" s="252" t="s">
        <v>43</v>
      </c>
      <c r="N137" s="252" t="s">
        <v>44</v>
      </c>
      <c r="O137" s="252" t="s">
        <v>45</v>
      </c>
      <c r="P137" s="258"/>
      <c r="Q137" s="258"/>
      <c r="R137" s="258"/>
      <c r="S137" s="258"/>
      <c r="T137" s="258"/>
      <c r="U137" s="258"/>
      <c r="V137" s="258"/>
      <c r="W137" s="258"/>
      <c r="X137" s="258"/>
      <c r="Y137" s="258"/>
      <c r="Z137" s="258"/>
      <c r="AA137" s="258"/>
      <c r="AB137" s="258"/>
      <c r="AC137" s="258"/>
      <c r="AD137" s="258"/>
      <c r="AE137" s="258"/>
      <c r="AF137" s="258"/>
      <c r="AG137" s="258"/>
      <c r="AH137" s="258"/>
      <c r="AI137" s="258"/>
    </row>
    <row r="138" spans="1:35" s="100" customFormat="1" ht="45" customHeight="1">
      <c r="A138" s="232">
        <v>123</v>
      </c>
      <c r="B138" s="233">
        <v>222310120</v>
      </c>
      <c r="C138" s="289" t="s">
        <v>748</v>
      </c>
      <c r="D138" s="234" t="s">
        <v>749</v>
      </c>
      <c r="E138" s="233" t="s">
        <v>36</v>
      </c>
      <c r="F138" s="234" t="s">
        <v>538</v>
      </c>
      <c r="G138" s="245" t="s">
        <v>750</v>
      </c>
      <c r="H138" s="246" t="s">
        <v>39</v>
      </c>
      <c r="I138" s="249" t="s">
        <v>751</v>
      </c>
      <c r="J138" s="250" t="s">
        <v>96</v>
      </c>
      <c r="K138" s="251" t="s">
        <v>752</v>
      </c>
      <c r="L138" s="252">
        <v>2022</v>
      </c>
      <c r="M138" s="252" t="s">
        <v>43</v>
      </c>
      <c r="N138" s="252" t="s">
        <v>44</v>
      </c>
      <c r="O138" s="252" t="s">
        <v>45</v>
      </c>
      <c r="P138" s="258"/>
      <c r="Q138" s="258"/>
      <c r="R138" s="258"/>
      <c r="S138" s="258"/>
      <c r="T138" s="258"/>
      <c r="U138" s="258"/>
      <c r="V138" s="258"/>
      <c r="W138" s="258"/>
      <c r="X138" s="258"/>
      <c r="Y138" s="258"/>
      <c r="Z138" s="258"/>
      <c r="AA138" s="258"/>
      <c r="AB138" s="258"/>
      <c r="AC138" s="258"/>
      <c r="AD138" s="258"/>
      <c r="AE138" s="258"/>
      <c r="AF138" s="258"/>
      <c r="AG138" s="258"/>
      <c r="AH138" s="258"/>
      <c r="AI138" s="258"/>
    </row>
    <row r="139" spans="1:35" s="100" customFormat="1" ht="45" customHeight="1">
      <c r="A139" s="232">
        <v>124</v>
      </c>
      <c r="B139" s="233">
        <v>222310121</v>
      </c>
      <c r="C139" s="289" t="s">
        <v>753</v>
      </c>
      <c r="D139" s="235" t="s">
        <v>754</v>
      </c>
      <c r="E139" s="233" t="s">
        <v>518</v>
      </c>
      <c r="F139" s="234" t="s">
        <v>519</v>
      </c>
      <c r="G139" s="245" t="s">
        <v>755</v>
      </c>
      <c r="H139" s="246" t="s">
        <v>39</v>
      </c>
      <c r="I139" s="249" t="s">
        <v>756</v>
      </c>
      <c r="J139" s="250" t="s">
        <v>757</v>
      </c>
      <c r="K139" s="235" t="s">
        <v>758</v>
      </c>
      <c r="L139" s="252">
        <v>2022</v>
      </c>
      <c r="M139" s="252" t="s">
        <v>43</v>
      </c>
      <c r="N139" s="252" t="s">
        <v>44</v>
      </c>
      <c r="O139" s="252" t="s">
        <v>45</v>
      </c>
      <c r="P139" s="258"/>
      <c r="Q139" s="258"/>
      <c r="R139" s="258"/>
      <c r="S139" s="258"/>
      <c r="T139" s="258"/>
      <c r="U139" s="258"/>
      <c r="V139" s="258"/>
      <c r="W139" s="258"/>
      <c r="X139" s="258"/>
      <c r="Y139" s="258"/>
      <c r="Z139" s="258"/>
      <c r="AA139" s="258"/>
      <c r="AB139" s="258"/>
      <c r="AC139" s="258"/>
      <c r="AD139" s="258"/>
      <c r="AE139" s="258"/>
      <c r="AF139" s="258"/>
      <c r="AG139" s="258"/>
      <c r="AH139" s="258"/>
      <c r="AI139" s="258"/>
    </row>
    <row r="140" spans="1:35" s="100" customFormat="1" ht="45" customHeight="1">
      <c r="A140" s="232">
        <v>125</v>
      </c>
      <c r="B140" s="233">
        <v>222310122</v>
      </c>
      <c r="C140" s="289" t="s">
        <v>759</v>
      </c>
      <c r="D140" s="234" t="s">
        <v>760</v>
      </c>
      <c r="E140" s="233" t="s">
        <v>36</v>
      </c>
      <c r="F140" s="234" t="s">
        <v>519</v>
      </c>
      <c r="G140" s="245" t="s">
        <v>761</v>
      </c>
      <c r="H140" s="246" t="s">
        <v>39</v>
      </c>
      <c r="I140" s="249" t="s">
        <v>762</v>
      </c>
      <c r="J140" s="250" t="s">
        <v>724</v>
      </c>
      <c r="K140" s="251" t="s">
        <v>763</v>
      </c>
      <c r="L140" s="252">
        <v>2022</v>
      </c>
      <c r="M140" s="252" t="s">
        <v>43</v>
      </c>
      <c r="N140" s="252" t="s">
        <v>44</v>
      </c>
      <c r="O140" s="252" t="s">
        <v>45</v>
      </c>
      <c r="P140" s="258"/>
      <c r="Q140" s="258"/>
      <c r="R140" s="258"/>
      <c r="S140" s="258"/>
      <c r="T140" s="258"/>
      <c r="U140" s="258"/>
      <c r="V140" s="258"/>
      <c r="W140" s="258"/>
      <c r="X140" s="258"/>
      <c r="Y140" s="258"/>
      <c r="Z140" s="258"/>
      <c r="AA140" s="258"/>
      <c r="AB140" s="258"/>
      <c r="AC140" s="258"/>
      <c r="AD140" s="258"/>
      <c r="AE140" s="258"/>
      <c r="AF140" s="258"/>
      <c r="AG140" s="258"/>
      <c r="AH140" s="258"/>
      <c r="AI140" s="258"/>
    </row>
    <row r="141" spans="1:35" s="100" customFormat="1" ht="45" customHeight="1">
      <c r="A141" s="232">
        <v>126</v>
      </c>
      <c r="B141" s="233">
        <v>222310123</v>
      </c>
      <c r="C141" s="289" t="s">
        <v>764</v>
      </c>
      <c r="D141" s="234" t="s">
        <v>765</v>
      </c>
      <c r="E141" s="233" t="s">
        <v>518</v>
      </c>
      <c r="F141" s="234" t="s">
        <v>519</v>
      </c>
      <c r="G141" s="245" t="s">
        <v>766</v>
      </c>
      <c r="H141" s="246" t="s">
        <v>39</v>
      </c>
      <c r="I141" s="249" t="s">
        <v>767</v>
      </c>
      <c r="J141" s="250" t="s">
        <v>572</v>
      </c>
      <c r="K141" s="235" t="s">
        <v>768</v>
      </c>
      <c r="L141" s="252">
        <v>2022</v>
      </c>
      <c r="M141" s="252" t="s">
        <v>43</v>
      </c>
      <c r="N141" s="252" t="s">
        <v>44</v>
      </c>
      <c r="O141" s="252" t="s">
        <v>45</v>
      </c>
      <c r="P141" s="258"/>
      <c r="Q141" s="258"/>
      <c r="R141" s="258"/>
      <c r="S141" s="258"/>
      <c r="T141" s="258"/>
      <c r="U141" s="258"/>
      <c r="V141" s="258"/>
      <c r="W141" s="258"/>
      <c r="X141" s="258"/>
      <c r="Y141" s="258"/>
      <c r="Z141" s="258"/>
      <c r="AA141" s="258"/>
      <c r="AB141" s="258"/>
      <c r="AC141" s="258"/>
      <c r="AD141" s="258"/>
      <c r="AE141" s="258"/>
      <c r="AF141" s="258"/>
      <c r="AG141" s="258"/>
      <c r="AH141" s="258"/>
      <c r="AI141" s="258"/>
    </row>
    <row r="142" spans="1:35" s="100" customFormat="1" ht="45" customHeight="1">
      <c r="A142" s="232">
        <v>127</v>
      </c>
      <c r="B142" s="233">
        <v>222310124</v>
      </c>
      <c r="C142" s="289" t="s">
        <v>769</v>
      </c>
      <c r="D142" s="234" t="s">
        <v>770</v>
      </c>
      <c r="E142" s="233" t="s">
        <v>36</v>
      </c>
      <c r="F142" s="234" t="s">
        <v>519</v>
      </c>
      <c r="G142" s="245" t="s">
        <v>771</v>
      </c>
      <c r="H142" s="246" t="s">
        <v>39</v>
      </c>
      <c r="I142" s="249" t="s">
        <v>772</v>
      </c>
      <c r="J142" s="250" t="s">
        <v>773</v>
      </c>
      <c r="K142" s="251" t="s">
        <v>774</v>
      </c>
      <c r="L142" s="252">
        <v>2022</v>
      </c>
      <c r="M142" s="252" t="s">
        <v>43</v>
      </c>
      <c r="N142" s="252" t="s">
        <v>44</v>
      </c>
      <c r="O142" s="252" t="s">
        <v>45</v>
      </c>
      <c r="P142" s="258"/>
      <c r="Q142" s="258"/>
      <c r="R142" s="258"/>
      <c r="S142" s="258"/>
      <c r="T142" s="258"/>
      <c r="U142" s="258"/>
      <c r="V142" s="258"/>
      <c r="W142" s="258"/>
      <c r="X142" s="258"/>
      <c r="Y142" s="258"/>
      <c r="Z142" s="258"/>
      <c r="AA142" s="258"/>
      <c r="AB142" s="258"/>
      <c r="AC142" s="258"/>
      <c r="AD142" s="258"/>
      <c r="AE142" s="258"/>
      <c r="AF142" s="258"/>
      <c r="AG142" s="258"/>
      <c r="AH142" s="258"/>
      <c r="AI142" s="258"/>
    </row>
    <row r="143" spans="1:35" s="100" customFormat="1" ht="45" customHeight="1">
      <c r="A143" s="232">
        <v>128</v>
      </c>
      <c r="B143" s="233">
        <v>222310129</v>
      </c>
      <c r="C143" s="289" t="s">
        <v>775</v>
      </c>
      <c r="D143" s="235" t="s">
        <v>776</v>
      </c>
      <c r="E143" s="233" t="s">
        <v>36</v>
      </c>
      <c r="F143" s="234" t="s">
        <v>519</v>
      </c>
      <c r="G143" s="245" t="s">
        <v>777</v>
      </c>
      <c r="H143" s="246" t="s">
        <v>39</v>
      </c>
      <c r="I143" s="249" t="s">
        <v>778</v>
      </c>
      <c r="J143" s="234" t="s">
        <v>779</v>
      </c>
      <c r="K143" s="251" t="s">
        <v>780</v>
      </c>
      <c r="L143" s="252">
        <v>2022</v>
      </c>
      <c r="M143" s="252" t="s">
        <v>43</v>
      </c>
      <c r="N143" s="252" t="s">
        <v>44</v>
      </c>
      <c r="O143" s="252" t="s">
        <v>45</v>
      </c>
      <c r="P143" s="258"/>
      <c r="Q143" s="258"/>
      <c r="R143" s="258"/>
      <c r="S143" s="258"/>
      <c r="T143" s="258"/>
      <c r="U143" s="258"/>
      <c r="V143" s="258"/>
      <c r="W143" s="258"/>
      <c r="X143" s="258"/>
      <c r="Y143" s="258"/>
      <c r="Z143" s="258"/>
      <c r="AA143" s="258"/>
      <c r="AB143" s="258"/>
      <c r="AC143" s="258"/>
      <c r="AD143" s="258"/>
      <c r="AE143" s="258"/>
      <c r="AF143" s="258"/>
      <c r="AG143" s="258"/>
      <c r="AH143" s="258"/>
      <c r="AI143" s="258"/>
    </row>
    <row r="144" spans="1:35" s="100" customFormat="1" ht="45" customHeight="1">
      <c r="A144" s="232">
        <v>129</v>
      </c>
      <c r="B144" s="233">
        <v>222310130</v>
      </c>
      <c r="C144" s="289" t="s">
        <v>781</v>
      </c>
      <c r="D144" s="234" t="s">
        <v>782</v>
      </c>
      <c r="E144" s="233" t="s">
        <v>36</v>
      </c>
      <c r="F144" s="234" t="s">
        <v>519</v>
      </c>
      <c r="G144" s="245" t="s">
        <v>783</v>
      </c>
      <c r="H144" s="246" t="s">
        <v>39</v>
      </c>
      <c r="I144" s="249" t="s">
        <v>784</v>
      </c>
      <c r="J144" s="250" t="s">
        <v>401</v>
      </c>
      <c r="K144" s="235" t="s">
        <v>785</v>
      </c>
      <c r="L144" s="252">
        <v>2022</v>
      </c>
      <c r="M144" s="252" t="s">
        <v>43</v>
      </c>
      <c r="N144" s="252" t="s">
        <v>44</v>
      </c>
      <c r="O144" s="252" t="s">
        <v>45</v>
      </c>
      <c r="P144" s="258"/>
      <c r="Q144" s="258"/>
      <c r="R144" s="258"/>
      <c r="S144" s="258"/>
      <c r="T144" s="258"/>
      <c r="U144" s="258"/>
      <c r="V144" s="258"/>
      <c r="W144" s="258"/>
      <c r="X144" s="258"/>
      <c r="Y144" s="258"/>
      <c r="Z144" s="258"/>
      <c r="AA144" s="258"/>
      <c r="AB144" s="258"/>
      <c r="AC144" s="258"/>
      <c r="AD144" s="258"/>
      <c r="AE144" s="258"/>
      <c r="AF144" s="258"/>
      <c r="AG144" s="258"/>
      <c r="AH144" s="258"/>
      <c r="AI144" s="258"/>
    </row>
    <row r="145" spans="1:35" s="100" customFormat="1" ht="45" customHeight="1">
      <c r="A145" s="232">
        <v>130</v>
      </c>
      <c r="B145" s="233">
        <v>222310125</v>
      </c>
      <c r="C145" s="289" t="s">
        <v>786</v>
      </c>
      <c r="D145" s="234" t="s">
        <v>787</v>
      </c>
      <c r="E145" s="233" t="s">
        <v>518</v>
      </c>
      <c r="F145" s="234" t="s">
        <v>519</v>
      </c>
      <c r="G145" s="245" t="s">
        <v>788</v>
      </c>
      <c r="H145" s="246" t="s">
        <v>39</v>
      </c>
      <c r="I145" s="249" t="s">
        <v>789</v>
      </c>
      <c r="J145" s="250" t="s">
        <v>343</v>
      </c>
      <c r="K145" s="251" t="s">
        <v>790</v>
      </c>
      <c r="L145" s="252">
        <v>2022</v>
      </c>
      <c r="M145" s="252" t="s">
        <v>43</v>
      </c>
      <c r="N145" s="252" t="s">
        <v>44</v>
      </c>
      <c r="O145" s="252" t="s">
        <v>45</v>
      </c>
      <c r="P145" s="258"/>
      <c r="Q145" s="258"/>
      <c r="R145" s="258"/>
      <c r="S145" s="258"/>
      <c r="T145" s="258"/>
      <c r="U145" s="258"/>
      <c r="V145" s="258"/>
      <c r="W145" s="258"/>
      <c r="X145" s="258"/>
      <c r="Y145" s="258"/>
      <c r="Z145" s="258"/>
      <c r="AA145" s="258"/>
      <c r="AB145" s="258"/>
      <c r="AC145" s="258"/>
      <c r="AD145" s="258"/>
      <c r="AE145" s="258"/>
      <c r="AF145" s="258"/>
      <c r="AG145" s="258"/>
      <c r="AH145" s="258"/>
      <c r="AI145" s="258"/>
    </row>
    <row r="146" spans="1:35" s="100" customFormat="1" ht="45" customHeight="1">
      <c r="A146" s="232">
        <v>131</v>
      </c>
      <c r="B146" s="233">
        <v>222310126</v>
      </c>
      <c r="C146" s="289" t="s">
        <v>791</v>
      </c>
      <c r="D146" s="234" t="s">
        <v>792</v>
      </c>
      <c r="E146" s="233" t="s">
        <v>518</v>
      </c>
      <c r="F146" s="234" t="s">
        <v>519</v>
      </c>
      <c r="G146" s="290" t="s">
        <v>793</v>
      </c>
      <c r="H146" s="246" t="s">
        <v>39</v>
      </c>
      <c r="I146" s="249" t="s">
        <v>794</v>
      </c>
      <c r="J146" s="250" t="s">
        <v>795</v>
      </c>
      <c r="K146" s="235" t="s">
        <v>796</v>
      </c>
      <c r="L146" s="252">
        <v>2022</v>
      </c>
      <c r="M146" s="252" t="s">
        <v>43</v>
      </c>
      <c r="N146" s="252" t="s">
        <v>44</v>
      </c>
      <c r="O146" s="252" t="s">
        <v>45</v>
      </c>
      <c r="P146" s="258"/>
      <c r="Q146" s="258"/>
      <c r="R146" s="258"/>
      <c r="S146" s="258"/>
      <c r="T146" s="258"/>
      <c r="U146" s="258"/>
      <c r="V146" s="258"/>
      <c r="W146" s="258"/>
      <c r="X146" s="258"/>
      <c r="Y146" s="258"/>
      <c r="Z146" s="258"/>
      <c r="AA146" s="258"/>
      <c r="AB146" s="258"/>
      <c r="AC146" s="258"/>
      <c r="AD146" s="258"/>
      <c r="AE146" s="258"/>
      <c r="AF146" s="258"/>
      <c r="AG146" s="258"/>
      <c r="AH146" s="258"/>
      <c r="AI146" s="258"/>
    </row>
    <row r="147" spans="1:35" s="100" customFormat="1" ht="45" customHeight="1">
      <c r="A147" s="232">
        <v>132</v>
      </c>
      <c r="B147" s="233">
        <v>222310127</v>
      </c>
      <c r="C147" s="289" t="s">
        <v>797</v>
      </c>
      <c r="D147" s="235" t="s">
        <v>798</v>
      </c>
      <c r="E147" s="233" t="s">
        <v>518</v>
      </c>
      <c r="F147" s="234" t="s">
        <v>519</v>
      </c>
      <c r="G147" s="245" t="s">
        <v>799</v>
      </c>
      <c r="H147" s="246" t="s">
        <v>39</v>
      </c>
      <c r="I147" s="249" t="s">
        <v>800</v>
      </c>
      <c r="J147" s="234" t="s">
        <v>801</v>
      </c>
      <c r="K147" s="251" t="s">
        <v>802</v>
      </c>
      <c r="L147" s="252">
        <v>2022</v>
      </c>
      <c r="M147" s="252" t="s">
        <v>43</v>
      </c>
      <c r="N147" s="252" t="s">
        <v>44</v>
      </c>
      <c r="O147" s="252" t="s">
        <v>45</v>
      </c>
      <c r="P147" s="258"/>
      <c r="Q147" s="258"/>
      <c r="R147" s="258"/>
      <c r="S147" s="258"/>
      <c r="T147" s="258"/>
      <c r="U147" s="258"/>
      <c r="V147" s="258"/>
      <c r="W147" s="258"/>
      <c r="X147" s="258"/>
      <c r="Y147" s="258"/>
      <c r="Z147" s="258"/>
      <c r="AA147" s="258"/>
      <c r="AB147" s="258"/>
      <c r="AC147" s="258"/>
      <c r="AD147" s="258"/>
      <c r="AE147" s="258"/>
      <c r="AF147" s="258"/>
      <c r="AG147" s="258"/>
      <c r="AH147" s="258"/>
      <c r="AI147" s="258"/>
    </row>
    <row r="148" spans="1:35" s="100" customFormat="1" ht="45" customHeight="1">
      <c r="A148" s="232">
        <v>133</v>
      </c>
      <c r="B148" s="233">
        <v>222310128</v>
      </c>
      <c r="C148" s="289" t="s">
        <v>803</v>
      </c>
      <c r="D148" s="235" t="s">
        <v>804</v>
      </c>
      <c r="E148" s="233" t="s">
        <v>36</v>
      </c>
      <c r="F148" s="234" t="s">
        <v>519</v>
      </c>
      <c r="G148" s="245" t="s">
        <v>805</v>
      </c>
      <c r="H148" s="246" t="s">
        <v>39</v>
      </c>
      <c r="I148" s="249" t="s">
        <v>806</v>
      </c>
      <c r="J148" s="250" t="s">
        <v>807</v>
      </c>
      <c r="K148" s="251" t="s">
        <v>808</v>
      </c>
      <c r="L148" s="252">
        <v>2022</v>
      </c>
      <c r="M148" s="252" t="s">
        <v>43</v>
      </c>
      <c r="N148" s="252" t="s">
        <v>44</v>
      </c>
      <c r="O148" s="252" t="s">
        <v>45</v>
      </c>
      <c r="P148" s="258"/>
      <c r="Q148" s="258"/>
      <c r="R148" s="258"/>
      <c r="S148" s="258"/>
      <c r="T148" s="258"/>
      <c r="U148" s="258"/>
      <c r="V148" s="258"/>
      <c r="W148" s="258"/>
      <c r="X148" s="258"/>
      <c r="Y148" s="258"/>
      <c r="Z148" s="258"/>
      <c r="AA148" s="258"/>
      <c r="AB148" s="258"/>
      <c r="AC148" s="258"/>
      <c r="AD148" s="258"/>
      <c r="AE148" s="258"/>
      <c r="AF148" s="258"/>
      <c r="AG148" s="258"/>
      <c r="AH148" s="258"/>
      <c r="AI148" s="258"/>
    </row>
    <row r="149" spans="1:35" s="100" customFormat="1" ht="45" customHeight="1">
      <c r="A149" s="232">
        <v>134</v>
      </c>
      <c r="B149" s="233">
        <v>222310131</v>
      </c>
      <c r="C149" s="289" t="s">
        <v>809</v>
      </c>
      <c r="D149" s="238" t="s">
        <v>810</v>
      </c>
      <c r="E149" s="233" t="s">
        <v>518</v>
      </c>
      <c r="F149" s="234" t="s">
        <v>519</v>
      </c>
      <c r="G149" s="245" t="s">
        <v>811</v>
      </c>
      <c r="H149" s="246" t="s">
        <v>39</v>
      </c>
      <c r="I149" s="249" t="s">
        <v>812</v>
      </c>
      <c r="J149" s="250" t="s">
        <v>813</v>
      </c>
      <c r="K149" s="251" t="s">
        <v>814</v>
      </c>
      <c r="L149" s="252">
        <v>2022</v>
      </c>
      <c r="M149" s="252" t="s">
        <v>43</v>
      </c>
      <c r="N149" s="252" t="s">
        <v>44</v>
      </c>
      <c r="O149" s="252" t="s">
        <v>45</v>
      </c>
      <c r="P149" s="258"/>
      <c r="Q149" s="258"/>
      <c r="R149" s="258"/>
      <c r="S149" s="258"/>
      <c r="T149" s="258"/>
      <c r="U149" s="258"/>
      <c r="V149" s="258"/>
      <c r="W149" s="258"/>
      <c r="X149" s="258"/>
      <c r="Y149" s="258"/>
      <c r="Z149" s="258"/>
      <c r="AA149" s="258"/>
      <c r="AB149" s="258"/>
      <c r="AC149" s="258"/>
      <c r="AD149" s="258"/>
      <c r="AE149" s="258"/>
      <c r="AF149" s="258"/>
      <c r="AG149" s="258"/>
      <c r="AH149" s="258"/>
      <c r="AI149" s="258"/>
    </row>
    <row r="150" spans="1:35" s="100" customFormat="1" ht="45" customHeight="1">
      <c r="A150" s="232">
        <v>135</v>
      </c>
      <c r="B150" s="233">
        <v>222310132</v>
      </c>
      <c r="C150" s="289" t="s">
        <v>815</v>
      </c>
      <c r="D150" s="239" t="s">
        <v>816</v>
      </c>
      <c r="E150" s="233" t="s">
        <v>518</v>
      </c>
      <c r="F150" s="234" t="s">
        <v>519</v>
      </c>
      <c r="G150" s="245" t="s">
        <v>817</v>
      </c>
      <c r="H150" s="246" t="s">
        <v>39</v>
      </c>
      <c r="I150" s="249" t="s">
        <v>818</v>
      </c>
      <c r="J150" s="250" t="s">
        <v>819</v>
      </c>
      <c r="K150" s="251" t="s">
        <v>820</v>
      </c>
      <c r="L150" s="252">
        <v>2022</v>
      </c>
      <c r="M150" s="252" t="s">
        <v>43</v>
      </c>
      <c r="N150" s="252" t="s">
        <v>44</v>
      </c>
      <c r="O150" s="252" t="s">
        <v>45</v>
      </c>
      <c r="P150" s="258"/>
      <c r="Q150" s="258"/>
      <c r="R150" s="258"/>
      <c r="S150" s="258"/>
      <c r="T150" s="258"/>
      <c r="U150" s="258"/>
      <c r="V150" s="258"/>
      <c r="W150" s="258"/>
      <c r="X150" s="258"/>
      <c r="Y150" s="258"/>
      <c r="Z150" s="258"/>
      <c r="AA150" s="258"/>
      <c r="AB150" s="258"/>
      <c r="AC150" s="258"/>
      <c r="AD150" s="258"/>
      <c r="AE150" s="258"/>
      <c r="AF150" s="258"/>
      <c r="AG150" s="258"/>
      <c r="AH150" s="258"/>
      <c r="AI150" s="258"/>
    </row>
    <row r="151" spans="1:35" s="100" customFormat="1" ht="45" customHeight="1">
      <c r="A151" s="232">
        <v>136</v>
      </c>
      <c r="B151" s="233">
        <v>222310133</v>
      </c>
      <c r="C151" s="289" t="s">
        <v>821</v>
      </c>
      <c r="D151" s="234" t="s">
        <v>822</v>
      </c>
      <c r="E151" s="233" t="s">
        <v>36</v>
      </c>
      <c r="F151" s="234" t="s">
        <v>519</v>
      </c>
      <c r="G151" s="245" t="s">
        <v>823</v>
      </c>
      <c r="H151" s="246" t="s">
        <v>39</v>
      </c>
      <c r="I151" s="249" t="s">
        <v>824</v>
      </c>
      <c r="J151" s="250" t="s">
        <v>337</v>
      </c>
      <c r="K151" s="251" t="s">
        <v>825</v>
      </c>
      <c r="L151" s="252">
        <v>2022</v>
      </c>
      <c r="M151" s="252" t="s">
        <v>43</v>
      </c>
      <c r="N151" s="252" t="s">
        <v>44</v>
      </c>
      <c r="O151" s="252" t="s">
        <v>45</v>
      </c>
      <c r="P151" s="258"/>
      <c r="Q151" s="258"/>
      <c r="R151" s="258"/>
      <c r="S151" s="258"/>
      <c r="T151" s="258"/>
      <c r="U151" s="258"/>
      <c r="V151" s="258"/>
      <c r="W151" s="258"/>
      <c r="X151" s="258"/>
      <c r="Y151" s="258"/>
      <c r="Z151" s="258"/>
      <c r="AA151" s="258"/>
      <c r="AB151" s="258"/>
      <c r="AC151" s="258"/>
      <c r="AD151" s="258"/>
      <c r="AE151" s="258"/>
      <c r="AF151" s="258"/>
      <c r="AG151" s="258"/>
      <c r="AH151" s="258"/>
      <c r="AI151" s="258"/>
    </row>
    <row r="152" spans="1:35" s="100" customFormat="1" ht="45" customHeight="1">
      <c r="A152" s="232">
        <v>137</v>
      </c>
      <c r="B152" s="233">
        <v>222310134</v>
      </c>
      <c r="C152" s="289" t="s">
        <v>826</v>
      </c>
      <c r="D152" s="234" t="s">
        <v>827</v>
      </c>
      <c r="E152" s="247" t="s">
        <v>36</v>
      </c>
      <c r="F152" s="234" t="s">
        <v>519</v>
      </c>
      <c r="G152" s="245" t="s">
        <v>828</v>
      </c>
      <c r="H152" s="246" t="s">
        <v>39</v>
      </c>
      <c r="I152" s="249" t="s">
        <v>829</v>
      </c>
      <c r="J152" s="250" t="s">
        <v>830</v>
      </c>
      <c r="K152" s="235" t="s">
        <v>831</v>
      </c>
      <c r="L152" s="252">
        <v>2022</v>
      </c>
      <c r="M152" s="252" t="s">
        <v>43</v>
      </c>
      <c r="N152" s="252" t="s">
        <v>44</v>
      </c>
      <c r="O152" s="252" t="s">
        <v>45</v>
      </c>
      <c r="P152" s="258"/>
      <c r="Q152" s="258"/>
      <c r="R152" s="258"/>
      <c r="S152" s="258"/>
      <c r="T152" s="258"/>
      <c r="U152" s="258"/>
      <c r="V152" s="258"/>
      <c r="W152" s="258"/>
      <c r="X152" s="258"/>
      <c r="Y152" s="258"/>
      <c r="Z152" s="258"/>
      <c r="AA152" s="258"/>
      <c r="AB152" s="258"/>
      <c r="AC152" s="258"/>
      <c r="AD152" s="258"/>
      <c r="AE152" s="258"/>
      <c r="AF152" s="258"/>
      <c r="AG152" s="258"/>
      <c r="AH152" s="258"/>
      <c r="AI152" s="258"/>
    </row>
    <row r="153" spans="1:35" s="100" customFormat="1" ht="45" customHeight="1">
      <c r="A153" s="232">
        <v>138</v>
      </c>
      <c r="B153" s="233">
        <v>222310135</v>
      </c>
      <c r="C153" s="289" t="s">
        <v>832</v>
      </c>
      <c r="D153" s="234" t="s">
        <v>833</v>
      </c>
      <c r="E153" s="247" t="s">
        <v>36</v>
      </c>
      <c r="F153" s="234" t="s">
        <v>519</v>
      </c>
      <c r="G153" s="245" t="s">
        <v>834</v>
      </c>
      <c r="H153" s="246" t="s">
        <v>39</v>
      </c>
      <c r="I153" s="249" t="s">
        <v>835</v>
      </c>
      <c r="J153" s="250" t="s">
        <v>736</v>
      </c>
      <c r="K153" s="235" t="s">
        <v>836</v>
      </c>
      <c r="L153" s="252">
        <v>2022</v>
      </c>
      <c r="M153" s="252" t="s">
        <v>43</v>
      </c>
      <c r="N153" s="252" t="s">
        <v>44</v>
      </c>
      <c r="O153" s="252" t="s">
        <v>45</v>
      </c>
      <c r="P153" s="258"/>
      <c r="Q153" s="258"/>
      <c r="R153" s="258"/>
      <c r="S153" s="258"/>
      <c r="T153" s="258"/>
      <c r="U153" s="258"/>
      <c r="V153" s="258"/>
      <c r="W153" s="258"/>
      <c r="X153" s="258"/>
      <c r="Y153" s="258"/>
      <c r="Z153" s="258"/>
      <c r="AA153" s="258"/>
      <c r="AB153" s="258"/>
      <c r="AC153" s="258"/>
      <c r="AD153" s="258"/>
      <c r="AE153" s="258"/>
      <c r="AF153" s="258"/>
      <c r="AG153" s="258"/>
      <c r="AH153" s="258"/>
      <c r="AI153" s="258"/>
    </row>
    <row r="154" spans="1:35" s="100" customFormat="1" ht="45" customHeight="1">
      <c r="A154" s="232">
        <v>139</v>
      </c>
      <c r="B154" s="233">
        <v>222310136</v>
      </c>
      <c r="C154" s="289" t="s">
        <v>837</v>
      </c>
      <c r="D154" s="235" t="s">
        <v>838</v>
      </c>
      <c r="E154" s="233" t="s">
        <v>518</v>
      </c>
      <c r="F154" s="234" t="s">
        <v>519</v>
      </c>
      <c r="G154" s="245" t="s">
        <v>839</v>
      </c>
      <c r="H154" s="246" t="s">
        <v>39</v>
      </c>
      <c r="I154" s="249" t="s">
        <v>840</v>
      </c>
      <c r="J154" s="250" t="s">
        <v>841</v>
      </c>
      <c r="K154" s="235" t="s">
        <v>842</v>
      </c>
      <c r="L154" s="252">
        <v>2022</v>
      </c>
      <c r="M154" s="252" t="s">
        <v>43</v>
      </c>
      <c r="N154" s="252" t="s">
        <v>44</v>
      </c>
      <c r="O154" s="252" t="s">
        <v>45</v>
      </c>
      <c r="P154" s="258"/>
      <c r="Q154" s="258"/>
      <c r="R154" s="258"/>
      <c r="S154" s="258"/>
      <c r="T154" s="258"/>
      <c r="U154" s="258"/>
      <c r="V154" s="258"/>
      <c r="W154" s="258"/>
      <c r="X154" s="258"/>
      <c r="Y154" s="258"/>
      <c r="Z154" s="258"/>
      <c r="AA154" s="258"/>
      <c r="AB154" s="258"/>
      <c r="AC154" s="258"/>
      <c r="AD154" s="258"/>
      <c r="AE154" s="258"/>
      <c r="AF154" s="258"/>
      <c r="AG154" s="258"/>
      <c r="AH154" s="258"/>
      <c r="AI154" s="258"/>
    </row>
    <row r="155" spans="1:35" s="100" customFormat="1" ht="45" customHeight="1">
      <c r="A155" s="232">
        <v>140</v>
      </c>
      <c r="B155" s="233">
        <v>222310137</v>
      </c>
      <c r="C155" s="289" t="s">
        <v>843</v>
      </c>
      <c r="D155" s="234" t="s">
        <v>844</v>
      </c>
      <c r="E155" s="233" t="s">
        <v>518</v>
      </c>
      <c r="F155" s="234" t="s">
        <v>519</v>
      </c>
      <c r="G155" s="245" t="s">
        <v>845</v>
      </c>
      <c r="H155" s="246" t="s">
        <v>39</v>
      </c>
      <c r="I155" s="249" t="s">
        <v>846</v>
      </c>
      <c r="J155" s="250" t="s">
        <v>847</v>
      </c>
      <c r="K155" s="235" t="s">
        <v>848</v>
      </c>
      <c r="L155" s="252">
        <v>2022</v>
      </c>
      <c r="M155" s="252" t="s">
        <v>43</v>
      </c>
      <c r="N155" s="252" t="s">
        <v>44</v>
      </c>
      <c r="O155" s="252" t="s">
        <v>45</v>
      </c>
      <c r="P155" s="258"/>
      <c r="Q155" s="258"/>
      <c r="R155" s="258"/>
      <c r="S155" s="258"/>
      <c r="T155" s="258"/>
      <c r="U155" s="258"/>
      <c r="V155" s="258"/>
      <c r="W155" s="258"/>
      <c r="X155" s="258"/>
      <c r="Y155" s="258"/>
      <c r="Z155" s="258"/>
      <c r="AA155" s="258"/>
      <c r="AB155" s="258"/>
      <c r="AC155" s="258"/>
      <c r="AD155" s="258"/>
      <c r="AE155" s="258"/>
      <c r="AF155" s="258"/>
      <c r="AG155" s="258"/>
      <c r="AH155" s="258"/>
      <c r="AI155" s="258"/>
    </row>
    <row r="156" spans="1:35" s="100" customFormat="1" ht="45" customHeight="1">
      <c r="A156" s="232">
        <v>141</v>
      </c>
      <c r="B156" s="233">
        <v>222310138</v>
      </c>
      <c r="C156" s="289" t="s">
        <v>849</v>
      </c>
      <c r="D156" s="235" t="s">
        <v>850</v>
      </c>
      <c r="E156" s="233" t="s">
        <v>518</v>
      </c>
      <c r="F156" s="235" t="s">
        <v>519</v>
      </c>
      <c r="G156" s="248" t="s">
        <v>851</v>
      </c>
      <c r="H156" s="246" t="s">
        <v>39</v>
      </c>
      <c r="I156" s="249" t="s">
        <v>852</v>
      </c>
      <c r="J156" s="235" t="s">
        <v>853</v>
      </c>
      <c r="K156" s="251" t="s">
        <v>854</v>
      </c>
      <c r="L156" s="252">
        <v>2022</v>
      </c>
      <c r="M156" s="252" t="s">
        <v>43</v>
      </c>
      <c r="N156" s="252" t="s">
        <v>44</v>
      </c>
      <c r="O156" s="252" t="s">
        <v>45</v>
      </c>
      <c r="P156" s="258"/>
      <c r="Q156" s="258"/>
      <c r="R156" s="258"/>
      <c r="S156" s="258"/>
      <c r="T156" s="258"/>
      <c r="U156" s="258"/>
      <c r="V156" s="258"/>
      <c r="W156" s="258"/>
      <c r="X156" s="258"/>
      <c r="Y156" s="258"/>
      <c r="Z156" s="258"/>
      <c r="AA156" s="258"/>
      <c r="AB156" s="258"/>
      <c r="AC156" s="258"/>
      <c r="AD156" s="258"/>
      <c r="AE156" s="258"/>
      <c r="AF156" s="258"/>
      <c r="AG156" s="258"/>
      <c r="AH156" s="258"/>
      <c r="AI156" s="258"/>
    </row>
    <row r="157" spans="1:35" s="100" customFormat="1" ht="45" customHeight="1">
      <c r="A157" s="232">
        <v>142</v>
      </c>
      <c r="B157" s="233">
        <v>222310139</v>
      </c>
      <c r="C157" s="289" t="s">
        <v>855</v>
      </c>
      <c r="D157" s="235" t="s">
        <v>856</v>
      </c>
      <c r="E157" s="233" t="s">
        <v>518</v>
      </c>
      <c r="F157" s="235" t="s">
        <v>519</v>
      </c>
      <c r="G157" s="248" t="s">
        <v>857</v>
      </c>
      <c r="H157" s="246" t="s">
        <v>39</v>
      </c>
      <c r="I157" s="249" t="s">
        <v>858</v>
      </c>
      <c r="J157" s="235" t="s">
        <v>591</v>
      </c>
      <c r="K157" s="251"/>
      <c r="L157" s="252">
        <v>2019</v>
      </c>
      <c r="M157" s="252" t="s">
        <v>43</v>
      </c>
      <c r="N157" s="252" t="s">
        <v>44</v>
      </c>
      <c r="O157" s="252" t="s">
        <v>45</v>
      </c>
      <c r="P157" s="258"/>
      <c r="Q157" s="258"/>
      <c r="R157" s="258"/>
      <c r="S157" s="258"/>
      <c r="T157" s="258"/>
      <c r="U157" s="258"/>
      <c r="V157" s="258"/>
      <c r="W157" s="258"/>
      <c r="X157" s="258"/>
      <c r="Y157" s="258"/>
      <c r="Z157" s="258"/>
      <c r="AA157" s="258"/>
      <c r="AB157" s="258"/>
      <c r="AC157" s="258"/>
      <c r="AD157" s="258"/>
      <c r="AE157" s="258"/>
      <c r="AF157" s="258"/>
      <c r="AG157" s="258"/>
      <c r="AH157" s="258"/>
      <c r="AI157" s="258"/>
    </row>
    <row r="158" spans="1:35" s="101" customFormat="1" ht="45" customHeight="1"/>
    <row r="159" spans="1:35" s="101" customFormat="1" ht="45" customHeight="1">
      <c r="D159" s="240" t="s">
        <v>859</v>
      </c>
      <c r="E159" s="241"/>
      <c r="F159" s="241"/>
      <c r="G159" s="240"/>
      <c r="H159" s="244"/>
      <c r="K159" s="240" t="s">
        <v>860</v>
      </c>
      <c r="L159" s="51"/>
    </row>
    <row r="160" spans="1:35" s="101" customFormat="1" ht="45" customHeight="1">
      <c r="D160" s="240" t="s">
        <v>861</v>
      </c>
      <c r="E160" s="241"/>
      <c r="F160" s="241"/>
      <c r="G160" s="241"/>
      <c r="H160" s="244"/>
      <c r="K160" s="240" t="s">
        <v>862</v>
      </c>
      <c r="L160" s="51"/>
    </row>
    <row r="161" spans="3:12" s="101" customFormat="1" ht="45" customHeight="1">
      <c r="D161" s="241"/>
      <c r="E161" s="241"/>
      <c r="F161" s="241"/>
      <c r="G161" s="241"/>
      <c r="H161" s="244"/>
      <c r="K161" s="254"/>
      <c r="L161" s="51"/>
    </row>
    <row r="162" spans="3:12" s="101" customFormat="1" ht="45" customHeight="1">
      <c r="D162" s="241"/>
      <c r="E162" s="241"/>
      <c r="F162" s="241"/>
      <c r="G162" s="241"/>
      <c r="H162" s="244"/>
      <c r="L162" s="240"/>
    </row>
    <row r="163" spans="3:12" s="101" customFormat="1" ht="45" customHeight="1">
      <c r="C163" s="242"/>
      <c r="D163" s="243"/>
      <c r="E163" s="244"/>
      <c r="F163" s="244"/>
      <c r="G163" s="244"/>
      <c r="H163" s="244"/>
      <c r="I163" s="255"/>
      <c r="J163" s="255"/>
      <c r="K163" s="242"/>
      <c r="L163" s="242"/>
    </row>
    <row r="164" spans="3:12" s="101" customFormat="1" ht="45" customHeight="1">
      <c r="C164" s="244"/>
      <c r="D164" s="338" t="s">
        <v>863</v>
      </c>
      <c r="E164" s="339"/>
      <c r="F164" s="339"/>
      <c r="G164" s="339"/>
      <c r="H164" s="339"/>
      <c r="K164" s="256" t="s">
        <v>864</v>
      </c>
      <c r="L164" s="242"/>
    </row>
    <row r="165" spans="3:12" s="101" customFormat="1" ht="45" customHeight="1">
      <c r="C165" s="242"/>
      <c r="D165" s="242" t="s">
        <v>865</v>
      </c>
      <c r="E165" s="244"/>
      <c r="F165" s="244"/>
      <c r="G165" s="244"/>
      <c r="H165" s="244"/>
      <c r="K165" s="242" t="s">
        <v>866</v>
      </c>
      <c r="L165" s="257"/>
    </row>
    <row r="166" spans="3:12" s="101" customFormat="1" ht="45" customHeight="1">
      <c r="D166" s="242"/>
      <c r="E166" s="244"/>
      <c r="F166" s="244"/>
      <c r="G166" s="244"/>
      <c r="H166" s="244"/>
      <c r="K166" s="242"/>
      <c r="L166" s="242"/>
    </row>
    <row r="167" spans="3:12" s="101" customFormat="1" ht="45" customHeight="1">
      <c r="G167" s="242"/>
      <c r="K167" s="242"/>
      <c r="L167" s="242"/>
    </row>
    <row r="168" spans="3:12" s="101" customFormat="1" ht="45" customHeight="1"/>
    <row r="169" spans="3:12" s="101" customFormat="1" ht="45" customHeight="1"/>
    <row r="170" spans="3:12" s="101" customFormat="1" ht="45" customHeight="1"/>
    <row r="171" spans="3:12" s="101" customFormat="1" ht="45" customHeight="1"/>
    <row r="172" spans="3:12" s="101" customFormat="1" ht="45" customHeight="1"/>
    <row r="173" spans="3:12" s="101" customFormat="1" ht="45" customHeight="1"/>
    <row r="174" spans="3:12" s="101" customFormat="1" ht="45" customHeight="1"/>
    <row r="175" spans="3:12" s="101" customFormat="1" ht="45" customHeight="1"/>
    <row r="176" spans="3:12" s="101" customFormat="1" ht="45" customHeight="1"/>
    <row r="177" s="101" customFormat="1" ht="45" customHeight="1"/>
    <row r="178" ht="45" customHeight="1"/>
    <row r="179" ht="45" customHeight="1"/>
    <row r="180" ht="45" customHeight="1"/>
    <row r="181" ht="45" customHeight="1"/>
    <row r="182" ht="45" customHeight="1"/>
    <row r="183" ht="45" customHeight="1"/>
    <row r="184" ht="45" customHeight="1"/>
    <row r="185" ht="45" customHeight="1"/>
    <row r="186" ht="45" customHeight="1"/>
    <row r="187" ht="45" customHeight="1"/>
    <row r="188" ht="45" customHeight="1"/>
    <row r="189" ht="45" customHeight="1"/>
    <row r="190" ht="45" customHeight="1"/>
    <row r="191" ht="45" customHeight="1"/>
    <row r="192" ht="45" customHeight="1"/>
    <row r="193" ht="45" customHeight="1"/>
    <row r="194" ht="45" customHeight="1"/>
    <row r="195" ht="45" customHeight="1"/>
    <row r="196" ht="45" customHeight="1"/>
    <row r="197" ht="45" customHeight="1"/>
    <row r="198" ht="45" customHeight="1"/>
    <row r="199" ht="45" customHeight="1"/>
    <row r="200" ht="45" customHeight="1"/>
    <row r="201" ht="45" customHeight="1"/>
    <row r="202" ht="45" customHeight="1"/>
    <row r="203" ht="45" customHeight="1"/>
    <row r="204" ht="45" customHeight="1"/>
    <row r="205" ht="45" customHeight="1"/>
    <row r="206" ht="45" customHeight="1"/>
    <row r="207" ht="45" customHeight="1"/>
    <row r="208" ht="45" customHeight="1"/>
    <row r="209" ht="45" customHeight="1"/>
    <row r="210" ht="45" customHeight="1"/>
    <row r="211" ht="45" customHeight="1"/>
    <row r="212" ht="45" customHeight="1"/>
    <row r="213" ht="45" customHeight="1"/>
    <row r="214" ht="45" customHeight="1"/>
    <row r="215" ht="45" customHeight="1"/>
    <row r="216" ht="45" customHeight="1"/>
    <row r="217" ht="45" customHeight="1"/>
    <row r="218" ht="45" customHeight="1"/>
    <row r="219" ht="45" customHeight="1"/>
    <row r="220" ht="45" customHeight="1"/>
    <row r="221" ht="45" customHeight="1"/>
    <row r="222" ht="45" customHeight="1"/>
    <row r="223" ht="45" customHeight="1"/>
    <row r="224" ht="45" customHeight="1"/>
    <row r="225" ht="45" customHeight="1"/>
    <row r="226" ht="45" customHeight="1"/>
    <row r="227" ht="45" customHeight="1"/>
    <row r="228" ht="45" customHeight="1"/>
    <row r="229" ht="45" customHeight="1"/>
    <row r="230" ht="45" customHeight="1"/>
    <row r="231" ht="45" customHeight="1"/>
    <row r="232" ht="45" customHeight="1"/>
    <row r="233" ht="45" customHeight="1"/>
    <row r="234" ht="45" customHeight="1"/>
    <row r="235" ht="45" customHeight="1"/>
    <row r="236" ht="45" customHeight="1"/>
    <row r="237" ht="45" customHeight="1"/>
    <row r="238" ht="45" customHeight="1"/>
    <row r="239" ht="45" customHeight="1"/>
    <row r="240" ht="45" customHeight="1"/>
    <row r="241" ht="45" customHeight="1"/>
    <row r="242" ht="45" customHeight="1"/>
    <row r="243" ht="45" customHeight="1"/>
    <row r="244" ht="45" customHeight="1"/>
    <row r="245" ht="45" customHeight="1"/>
    <row r="246" ht="45" customHeight="1"/>
    <row r="247" ht="45" customHeight="1"/>
    <row r="248" ht="45" customHeight="1"/>
    <row r="249" ht="45" customHeight="1"/>
    <row r="250" ht="45" customHeight="1"/>
    <row r="251" ht="45" customHeight="1"/>
    <row r="252" ht="45" customHeight="1"/>
    <row r="253" ht="45" customHeight="1"/>
    <row r="254" ht="45" customHeight="1"/>
    <row r="255" ht="45" customHeight="1"/>
    <row r="256" ht="45" customHeight="1"/>
    <row r="257" ht="45" customHeight="1"/>
    <row r="258" ht="45" customHeight="1"/>
    <row r="259" ht="45" customHeight="1"/>
    <row r="260" ht="45" customHeight="1"/>
    <row r="261" ht="45" customHeight="1"/>
    <row r="262" ht="45" customHeight="1"/>
    <row r="263" ht="45" customHeight="1"/>
    <row r="264" ht="45" customHeight="1"/>
    <row r="265" ht="45" customHeight="1"/>
    <row r="266" ht="45" customHeight="1"/>
    <row r="267" ht="45" customHeight="1"/>
    <row r="268" ht="45" customHeight="1"/>
    <row r="269" ht="45" customHeight="1"/>
    <row r="270" ht="45" customHeight="1"/>
    <row r="271" ht="45" customHeight="1"/>
    <row r="272" ht="45" customHeight="1"/>
    <row r="273" ht="45" customHeight="1"/>
    <row r="274" ht="45" customHeight="1"/>
    <row r="275" ht="45" customHeight="1"/>
    <row r="276" ht="45" customHeight="1"/>
    <row r="277" ht="45" customHeight="1"/>
    <row r="278" ht="45" customHeight="1"/>
    <row r="279" ht="45" customHeight="1"/>
    <row r="280" ht="45" customHeight="1"/>
    <row r="281" ht="45" customHeight="1"/>
    <row r="282" ht="45" customHeight="1"/>
    <row r="283" ht="45" customHeight="1"/>
    <row r="284" ht="45" customHeight="1"/>
    <row r="285" ht="45" customHeight="1"/>
    <row r="286" ht="45" customHeight="1"/>
    <row r="287" ht="45" customHeight="1"/>
    <row r="288" ht="45" customHeight="1"/>
    <row r="289" ht="45" customHeight="1"/>
    <row r="290" ht="45" customHeight="1"/>
    <row r="291" ht="45" customHeight="1"/>
    <row r="292" ht="45" customHeight="1"/>
    <row r="293" ht="45" customHeight="1"/>
    <row r="294" ht="45" customHeight="1"/>
    <row r="295" ht="45" customHeight="1"/>
    <row r="296" ht="45" customHeight="1"/>
    <row r="297" ht="45" customHeight="1"/>
    <row r="298" ht="45" customHeight="1"/>
    <row r="299" ht="45" customHeight="1"/>
    <row r="300" ht="45" customHeight="1"/>
    <row r="301" ht="45" customHeight="1"/>
    <row r="302" ht="45" customHeight="1"/>
    <row r="303" ht="45" customHeight="1"/>
    <row r="304" ht="45" customHeight="1"/>
    <row r="305" ht="45" customHeight="1"/>
    <row r="306" ht="45" customHeight="1"/>
    <row r="307" ht="45" customHeight="1"/>
    <row r="308" ht="45" customHeight="1"/>
    <row r="309" ht="45" customHeight="1"/>
    <row r="310" ht="45" customHeight="1"/>
    <row r="311" ht="45" customHeight="1"/>
    <row r="312" ht="45" customHeight="1"/>
    <row r="313" ht="45" customHeight="1"/>
    <row r="314" ht="45" customHeight="1"/>
    <row r="315" ht="45" customHeight="1"/>
    <row r="316" ht="45" customHeight="1"/>
    <row r="317" ht="45" customHeight="1"/>
    <row r="318" ht="45" customHeight="1"/>
    <row r="319" ht="45" customHeight="1"/>
    <row r="320" ht="45" customHeight="1"/>
    <row r="321" ht="45" customHeight="1"/>
    <row r="322" ht="45" customHeight="1"/>
    <row r="323" ht="45" customHeight="1"/>
    <row r="324" ht="45" customHeight="1"/>
    <row r="325" ht="45" customHeight="1"/>
    <row r="326" ht="45" customHeight="1"/>
    <row r="327" ht="45" customHeight="1"/>
    <row r="328" ht="45" customHeight="1"/>
    <row r="329" ht="45" customHeight="1"/>
    <row r="330" ht="45" customHeight="1"/>
    <row r="331" ht="45" customHeight="1"/>
    <row r="332" ht="45" customHeight="1"/>
    <row r="333" ht="45" customHeight="1"/>
    <row r="334" ht="45" customHeight="1"/>
    <row r="335" ht="45" customHeight="1"/>
    <row r="336" ht="45" customHeight="1"/>
    <row r="337" ht="45" customHeight="1"/>
    <row r="338" ht="45" customHeight="1"/>
    <row r="339" ht="45" customHeight="1"/>
    <row r="340" ht="45" customHeight="1"/>
    <row r="341" ht="45" customHeight="1"/>
    <row r="342" ht="45" customHeight="1"/>
    <row r="343" ht="45" customHeight="1"/>
    <row r="344" ht="45" customHeight="1"/>
    <row r="345" ht="45" customHeight="1"/>
    <row r="346" ht="45" customHeight="1"/>
    <row r="347" ht="45" customHeight="1"/>
    <row r="348" ht="45" customHeight="1"/>
    <row r="349" ht="45" customHeight="1"/>
    <row r="350" ht="45" customHeight="1"/>
    <row r="351" ht="45" customHeight="1"/>
    <row r="352" ht="45" customHeight="1"/>
    <row r="353" ht="45" customHeight="1"/>
    <row r="354" ht="45" customHeight="1"/>
    <row r="355" ht="45" customHeight="1"/>
    <row r="356" ht="45" customHeight="1"/>
    <row r="357" ht="45" customHeight="1"/>
    <row r="358" ht="45" customHeight="1"/>
    <row r="359" ht="45" customHeight="1"/>
    <row r="360" ht="45" customHeight="1"/>
    <row r="361" ht="45" customHeight="1"/>
    <row r="362" ht="45" customHeight="1"/>
    <row r="363" ht="45" customHeight="1"/>
    <row r="364" ht="45" customHeight="1"/>
    <row r="365" ht="45" customHeight="1"/>
    <row r="366" ht="45" customHeight="1"/>
    <row r="367" ht="45" customHeight="1"/>
    <row r="368" ht="45" customHeight="1"/>
    <row r="369" ht="45" customHeight="1"/>
    <row r="370" ht="45" customHeight="1"/>
    <row r="371" ht="45" customHeight="1"/>
    <row r="372" ht="45" customHeight="1"/>
    <row r="373" ht="45" customHeight="1"/>
    <row r="374" ht="45" customHeight="1"/>
    <row r="375" ht="45" customHeight="1"/>
    <row r="376" ht="45" customHeight="1"/>
    <row r="377" ht="45" customHeight="1"/>
    <row r="378" ht="45" customHeight="1"/>
    <row r="379" ht="45" customHeight="1"/>
    <row r="380" ht="45" customHeight="1"/>
    <row r="381" ht="45" customHeight="1"/>
    <row r="382" ht="45" customHeight="1"/>
    <row r="383" ht="45" customHeight="1"/>
    <row r="384" ht="45" customHeight="1"/>
    <row r="385" ht="45" customHeight="1"/>
    <row r="386" ht="45" customHeight="1"/>
    <row r="387" ht="45" customHeight="1"/>
    <row r="388" ht="45" customHeight="1"/>
    <row r="389" ht="45" customHeight="1"/>
    <row r="390" ht="45" customHeight="1"/>
    <row r="391" ht="45" customHeight="1"/>
    <row r="392" ht="45" customHeight="1"/>
    <row r="393" ht="45" customHeight="1"/>
    <row r="394" ht="45" customHeight="1"/>
    <row r="395" ht="45" customHeight="1"/>
    <row r="396" ht="45" customHeight="1"/>
    <row r="397" ht="45" customHeight="1"/>
    <row r="398" ht="45" customHeight="1"/>
    <row r="399" ht="45" customHeight="1"/>
    <row r="400" ht="45" customHeight="1"/>
    <row r="401" ht="45" customHeight="1"/>
    <row r="402" ht="45" customHeight="1"/>
    <row r="403" ht="45" customHeight="1"/>
    <row r="404" ht="45" customHeight="1"/>
    <row r="405" ht="45" customHeight="1"/>
    <row r="406" ht="45" customHeight="1"/>
    <row r="407" ht="45" customHeight="1"/>
    <row r="408" ht="45" customHeight="1"/>
    <row r="409" ht="45" customHeight="1"/>
    <row r="410" ht="45" customHeight="1"/>
    <row r="411" ht="45" customHeight="1"/>
    <row r="412" ht="45" customHeight="1"/>
    <row r="413" ht="45" customHeight="1"/>
    <row r="414" ht="45" customHeight="1"/>
    <row r="415" ht="45" customHeight="1"/>
    <row r="416" ht="45" customHeight="1"/>
    <row r="417" ht="45" customHeight="1"/>
    <row r="418" ht="45" customHeight="1"/>
    <row r="419" ht="45" customHeight="1"/>
    <row r="420" ht="45" customHeight="1"/>
    <row r="421" ht="45" customHeight="1"/>
    <row r="422" ht="45" customHeight="1"/>
    <row r="423" ht="45" customHeight="1"/>
    <row r="424" ht="45" customHeight="1"/>
    <row r="425" ht="45" customHeight="1"/>
    <row r="426" ht="45" customHeight="1"/>
    <row r="427" ht="45" customHeight="1"/>
    <row r="428" ht="45" customHeight="1"/>
    <row r="429" ht="45" customHeight="1"/>
    <row r="430" ht="45" customHeight="1"/>
    <row r="431" ht="45" customHeight="1"/>
    <row r="432" ht="45" customHeight="1"/>
    <row r="433" ht="45" customHeight="1"/>
    <row r="434" ht="45" customHeight="1"/>
    <row r="435" ht="45" customHeight="1"/>
    <row r="436" ht="45" customHeight="1"/>
    <row r="437" ht="45" customHeight="1"/>
    <row r="438" ht="45" customHeight="1"/>
    <row r="439" ht="45" customHeight="1"/>
    <row r="440" ht="45" customHeight="1"/>
    <row r="441" ht="45" customHeight="1"/>
    <row r="442" ht="45" customHeight="1"/>
    <row r="443" ht="45" customHeight="1"/>
    <row r="444" ht="45" customHeight="1"/>
    <row r="445" ht="45" customHeight="1"/>
    <row r="446" ht="45" customHeight="1"/>
    <row r="447" ht="45" customHeight="1"/>
    <row r="448" ht="45" customHeight="1"/>
    <row r="449" ht="45" customHeight="1"/>
    <row r="450" ht="45" customHeight="1"/>
    <row r="451" ht="45" customHeight="1"/>
    <row r="452" ht="45" customHeight="1"/>
    <row r="453" ht="45" customHeight="1"/>
    <row r="454" ht="45" customHeight="1"/>
    <row r="455" ht="45" customHeight="1"/>
    <row r="456" ht="45" customHeight="1"/>
    <row r="457" ht="45" customHeight="1"/>
    <row r="458" ht="45" customHeight="1"/>
    <row r="459" ht="45" customHeight="1"/>
    <row r="460" ht="45" customHeight="1"/>
    <row r="461" ht="45" customHeight="1"/>
    <row r="462" ht="45" customHeight="1"/>
    <row r="463" ht="45" customHeight="1"/>
    <row r="464" ht="45" customHeight="1"/>
    <row r="465" ht="45" customHeight="1"/>
    <row r="466" ht="45" customHeight="1"/>
    <row r="467" ht="45" customHeight="1"/>
    <row r="468" ht="45" customHeight="1"/>
    <row r="469" ht="45" customHeight="1"/>
    <row r="470" ht="45" customHeight="1"/>
    <row r="471" ht="45" customHeight="1"/>
    <row r="472" ht="45" customHeight="1"/>
    <row r="473" ht="45" customHeight="1"/>
    <row r="474" ht="45" customHeight="1"/>
    <row r="475" ht="45" customHeight="1"/>
    <row r="476" ht="45" customHeight="1"/>
    <row r="477" ht="45" customHeight="1"/>
    <row r="478" ht="45" customHeight="1"/>
    <row r="479" ht="45" customHeight="1"/>
    <row r="480" ht="45" customHeight="1"/>
    <row r="481" ht="45" customHeight="1"/>
    <row r="482" ht="45" customHeight="1"/>
    <row r="483" ht="45" customHeight="1"/>
    <row r="484" ht="45" customHeight="1"/>
    <row r="485" ht="45" customHeight="1"/>
    <row r="486" ht="45" customHeight="1"/>
    <row r="487" ht="45" customHeight="1"/>
    <row r="488" ht="45" customHeight="1"/>
    <row r="489" ht="45" customHeight="1"/>
    <row r="490" ht="45" customHeight="1"/>
    <row r="491" ht="45" customHeight="1"/>
    <row r="492" ht="45" customHeight="1"/>
    <row r="493" ht="45" customHeight="1"/>
    <row r="494" ht="45" customHeight="1"/>
    <row r="495" ht="45" customHeight="1"/>
    <row r="496" ht="45" customHeight="1"/>
    <row r="497" ht="45" customHeight="1"/>
    <row r="498" ht="45" customHeight="1"/>
    <row r="499" ht="45" customHeight="1"/>
    <row r="500" ht="45" customHeight="1"/>
    <row r="501" ht="45" customHeight="1"/>
    <row r="502" ht="45" customHeight="1"/>
    <row r="503" ht="45" customHeight="1"/>
    <row r="504" ht="45" customHeight="1"/>
    <row r="505" ht="45" customHeight="1"/>
    <row r="506" ht="45" customHeight="1"/>
    <row r="507" ht="45" customHeight="1"/>
    <row r="508" ht="45" customHeight="1"/>
    <row r="509" ht="45" customHeight="1"/>
    <row r="510" ht="45" customHeight="1"/>
    <row r="511" ht="45" customHeight="1"/>
    <row r="512" ht="45" customHeight="1"/>
    <row r="513" ht="45" customHeight="1"/>
    <row r="514" ht="45" customHeight="1"/>
    <row r="515" ht="45" customHeight="1"/>
    <row r="516" ht="45" customHeight="1"/>
    <row r="517" ht="45" customHeight="1"/>
    <row r="518" ht="45" customHeight="1"/>
    <row r="519" ht="45" customHeight="1"/>
    <row r="520" ht="45" customHeight="1"/>
    <row r="521" ht="45" customHeight="1"/>
    <row r="522" ht="45" customHeight="1"/>
    <row r="523" ht="45" customHeight="1"/>
    <row r="524" ht="45" customHeight="1"/>
    <row r="525" ht="45" customHeight="1"/>
    <row r="526" ht="45" customHeight="1"/>
    <row r="527" ht="45" customHeight="1"/>
    <row r="528" ht="45" customHeight="1"/>
    <row r="529" ht="45" customHeight="1"/>
    <row r="530" ht="45" customHeight="1"/>
    <row r="531" ht="45" customHeight="1"/>
    <row r="532" ht="45" customHeight="1"/>
    <row r="533" ht="45" customHeight="1"/>
    <row r="534" ht="45" customHeight="1"/>
    <row r="535" ht="45" customHeight="1"/>
    <row r="536" ht="45" customHeight="1"/>
    <row r="537" ht="45" customHeight="1"/>
    <row r="538" ht="45" customHeight="1"/>
    <row r="539" ht="45" customHeight="1"/>
    <row r="540" ht="45" customHeight="1"/>
    <row r="541" ht="45" customHeight="1"/>
    <row r="542" ht="45" customHeight="1"/>
    <row r="543" ht="45" customHeight="1"/>
    <row r="544" ht="45" customHeight="1"/>
    <row r="545" ht="45" customHeight="1"/>
    <row r="546" ht="45" customHeight="1"/>
    <row r="547" ht="45" customHeight="1"/>
    <row r="548" ht="45" customHeight="1"/>
    <row r="549" ht="45" customHeight="1"/>
    <row r="550" ht="45" customHeight="1"/>
    <row r="551" ht="45" customHeight="1"/>
    <row r="552" ht="45" customHeight="1"/>
    <row r="553" ht="45" customHeight="1"/>
    <row r="554" ht="45" customHeight="1"/>
    <row r="555" ht="45" customHeight="1"/>
    <row r="556" ht="45" customHeight="1"/>
    <row r="557" ht="45" customHeight="1"/>
    <row r="558" ht="45" customHeight="1"/>
    <row r="559" ht="45" customHeight="1"/>
    <row r="560" ht="45" customHeight="1"/>
    <row r="561" ht="45" customHeight="1"/>
    <row r="562" ht="45" customHeight="1"/>
    <row r="563" ht="45" customHeight="1"/>
    <row r="564" ht="45" customHeight="1"/>
    <row r="565" ht="45" customHeight="1"/>
    <row r="566" ht="45" customHeight="1"/>
    <row r="567" ht="45" customHeight="1"/>
    <row r="568" ht="45" customHeight="1"/>
    <row r="569" ht="45" customHeight="1"/>
    <row r="570" ht="45" customHeight="1"/>
    <row r="571" ht="45" customHeight="1"/>
    <row r="572" ht="45" customHeight="1"/>
    <row r="573" ht="45" customHeight="1"/>
    <row r="574" ht="45" customHeight="1"/>
    <row r="575" ht="45" customHeight="1"/>
    <row r="576" ht="45" customHeight="1"/>
    <row r="577" ht="45" customHeight="1"/>
    <row r="578" ht="45" customHeight="1"/>
    <row r="579" ht="45" customHeight="1"/>
    <row r="580" ht="45" customHeight="1"/>
    <row r="581" ht="45" customHeight="1"/>
    <row r="582" ht="45" customHeight="1"/>
    <row r="583" ht="45" customHeight="1"/>
    <row r="584" ht="45" customHeight="1"/>
    <row r="585" ht="45" customHeight="1"/>
    <row r="586" ht="45" customHeight="1"/>
    <row r="587" ht="45" customHeight="1"/>
    <row r="588" ht="45" customHeight="1"/>
    <row r="589" ht="45" customHeight="1"/>
    <row r="590" ht="45" customHeight="1"/>
    <row r="591" ht="45" customHeight="1"/>
    <row r="592" ht="45" customHeight="1"/>
    <row r="593" ht="45" customHeight="1"/>
    <row r="594" ht="45" customHeight="1"/>
    <row r="595" ht="45" customHeight="1"/>
    <row r="596" ht="45" customHeight="1"/>
    <row r="597" ht="45" customHeight="1"/>
    <row r="598" ht="45" customHeight="1"/>
    <row r="599" ht="45" customHeight="1"/>
    <row r="600" ht="45" customHeight="1"/>
    <row r="601" ht="45" customHeight="1"/>
    <row r="602" ht="45" customHeight="1"/>
    <row r="603" ht="45" customHeight="1"/>
    <row r="604" ht="45" customHeight="1"/>
    <row r="605" ht="45" customHeight="1"/>
    <row r="606" ht="45" customHeight="1"/>
    <row r="607" ht="45" customHeight="1"/>
    <row r="608" ht="45" customHeight="1"/>
    <row r="609" ht="45" customHeight="1"/>
    <row r="610" ht="45" customHeight="1"/>
    <row r="611" ht="45" customHeight="1"/>
    <row r="612" ht="45" customHeight="1"/>
    <row r="613" ht="45" customHeight="1"/>
    <row r="614" ht="45" customHeight="1"/>
    <row r="615" ht="45" customHeight="1"/>
    <row r="616" ht="45" customHeight="1"/>
    <row r="617" ht="45" customHeight="1"/>
    <row r="618" ht="45" customHeight="1"/>
    <row r="619" ht="45" customHeight="1"/>
    <row r="620" ht="45" customHeight="1"/>
    <row r="621" ht="45" customHeight="1"/>
    <row r="622" ht="45" customHeight="1"/>
    <row r="623" ht="45" customHeight="1"/>
    <row r="624" ht="45" customHeight="1"/>
    <row r="625" ht="45" customHeight="1"/>
    <row r="626" ht="45" customHeight="1"/>
    <row r="627" ht="45" customHeight="1"/>
    <row r="628" ht="45" customHeight="1"/>
    <row r="629" ht="45" customHeight="1"/>
    <row r="630" ht="45" customHeight="1"/>
    <row r="631" ht="45" customHeight="1"/>
    <row r="632" ht="45" customHeight="1"/>
    <row r="633" ht="45" customHeight="1"/>
    <row r="634" ht="45" customHeight="1"/>
    <row r="635" ht="45" customHeight="1"/>
    <row r="636" ht="45" customHeight="1"/>
    <row r="637" ht="45" customHeight="1"/>
    <row r="638" ht="45" customHeight="1"/>
    <row r="639" ht="45" customHeight="1"/>
    <row r="640" ht="45" customHeight="1"/>
    <row r="641" ht="45" customHeight="1"/>
    <row r="642" ht="45" customHeight="1"/>
    <row r="643" ht="45" customHeight="1"/>
    <row r="644" ht="45" customHeight="1"/>
    <row r="645" ht="45" customHeight="1"/>
    <row r="646" ht="45" customHeight="1"/>
    <row r="647" ht="45" customHeight="1"/>
    <row r="648" ht="45" customHeight="1"/>
    <row r="649" ht="45" customHeight="1"/>
    <row r="650" ht="45" customHeight="1"/>
    <row r="651" ht="45" customHeight="1"/>
    <row r="652" ht="45" customHeight="1"/>
    <row r="653" ht="45" customHeight="1"/>
    <row r="654" ht="45" customHeight="1"/>
    <row r="655" ht="45" customHeight="1"/>
    <row r="656" ht="45" customHeight="1"/>
    <row r="657" ht="45" customHeight="1"/>
    <row r="658" ht="45" customHeight="1"/>
    <row r="659" ht="45" customHeight="1"/>
    <row r="660" ht="45" customHeight="1"/>
    <row r="661" ht="45" customHeight="1"/>
    <row r="662" ht="45" customHeight="1"/>
    <row r="663" ht="45" customHeight="1"/>
    <row r="664" ht="45" customHeight="1"/>
    <row r="665" ht="45" customHeight="1"/>
    <row r="666" ht="45" customHeight="1"/>
    <row r="667" ht="45" customHeight="1"/>
    <row r="668" ht="45" customHeight="1"/>
    <row r="669" ht="45" customHeight="1"/>
    <row r="670" ht="45" customHeight="1"/>
    <row r="671" ht="45" customHeight="1"/>
    <row r="672" ht="45" customHeight="1"/>
    <row r="673" ht="45" customHeight="1"/>
    <row r="674" ht="45" customHeight="1"/>
    <row r="675" ht="45" customHeight="1"/>
    <row r="676" ht="45" customHeight="1"/>
    <row r="677" ht="45" customHeight="1"/>
    <row r="678" ht="45" customHeight="1"/>
    <row r="679" ht="45" customHeight="1"/>
    <row r="680" ht="45" customHeight="1"/>
    <row r="681" ht="45" customHeight="1"/>
    <row r="682" ht="45" customHeight="1"/>
    <row r="683" ht="45" customHeight="1"/>
    <row r="684" ht="45" customHeight="1"/>
    <row r="685" ht="45" customHeight="1"/>
    <row r="686" ht="45" customHeight="1"/>
    <row r="687" ht="45" customHeight="1"/>
    <row r="688" ht="45" customHeight="1"/>
    <row r="689" ht="45" customHeight="1"/>
    <row r="690" ht="45" customHeight="1"/>
    <row r="691" ht="45" customHeight="1"/>
    <row r="692" ht="45" customHeight="1"/>
    <row r="693" ht="45" customHeight="1"/>
    <row r="694" ht="45" customHeight="1"/>
    <row r="695" ht="45" customHeight="1"/>
    <row r="696" ht="45" customHeight="1"/>
    <row r="697" ht="45" customHeight="1"/>
    <row r="698" ht="45" customHeight="1"/>
    <row r="699" ht="45" customHeight="1"/>
    <row r="700" ht="45" customHeight="1"/>
    <row r="701" ht="45" customHeight="1"/>
    <row r="702" ht="45" customHeight="1"/>
    <row r="703" ht="45" customHeight="1"/>
    <row r="704" ht="45" customHeight="1"/>
    <row r="705" ht="45" customHeight="1"/>
    <row r="706" ht="45" customHeight="1"/>
    <row r="707" ht="45" customHeight="1"/>
    <row r="708" ht="45" customHeight="1"/>
    <row r="709" ht="45" customHeight="1"/>
    <row r="710" ht="45" customHeight="1"/>
    <row r="711" ht="45" customHeight="1"/>
    <row r="712" ht="45" customHeight="1"/>
    <row r="713" ht="45" customHeight="1"/>
    <row r="714" ht="45" customHeight="1"/>
    <row r="715" ht="45" customHeight="1"/>
    <row r="716" ht="45" customHeight="1"/>
    <row r="717" ht="45" customHeight="1"/>
    <row r="718" ht="45" customHeight="1"/>
    <row r="719" ht="45" customHeight="1"/>
    <row r="720" ht="45" customHeight="1"/>
    <row r="721" ht="45" customHeight="1"/>
    <row r="722" ht="45" customHeight="1"/>
    <row r="723" ht="45" customHeight="1"/>
    <row r="724" ht="45" customHeight="1"/>
    <row r="725" ht="45" customHeight="1"/>
    <row r="726" ht="45" customHeight="1"/>
    <row r="727" ht="45" customHeight="1"/>
    <row r="728" ht="45" customHeight="1"/>
    <row r="729" ht="45" customHeight="1"/>
    <row r="730" ht="45" customHeight="1"/>
    <row r="731" ht="45" customHeight="1"/>
    <row r="732" ht="45" customHeight="1"/>
    <row r="733" ht="45" customHeight="1"/>
    <row r="734" ht="45" customHeight="1"/>
    <row r="735" ht="45" customHeight="1"/>
    <row r="736" ht="45" customHeight="1"/>
    <row r="737" ht="45" customHeight="1"/>
    <row r="738" ht="45" customHeight="1"/>
    <row r="739" ht="45" customHeight="1"/>
    <row r="740" ht="45" customHeight="1"/>
    <row r="741" ht="45" customHeight="1"/>
    <row r="742" ht="45" customHeight="1"/>
    <row r="743" ht="45" customHeight="1"/>
    <row r="744" ht="45" customHeight="1"/>
    <row r="745" ht="45" customHeight="1"/>
    <row r="746" ht="45" customHeight="1"/>
    <row r="747" ht="45" customHeight="1"/>
    <row r="748" ht="45" customHeight="1"/>
    <row r="749" ht="45" customHeight="1"/>
    <row r="750" ht="45" customHeight="1"/>
    <row r="751" ht="45" customHeight="1"/>
    <row r="752" ht="45" customHeight="1"/>
    <row r="753" ht="45" customHeight="1"/>
    <row r="754" ht="45" customHeight="1"/>
    <row r="755" ht="45" customHeight="1"/>
    <row r="756" ht="45" customHeight="1"/>
    <row r="757" ht="45" customHeight="1"/>
    <row r="758" ht="45" customHeight="1"/>
    <row r="759" ht="45" customHeight="1"/>
    <row r="760" ht="45" customHeight="1"/>
    <row r="761" ht="45" customHeight="1"/>
    <row r="762" ht="45" customHeight="1"/>
    <row r="763" ht="45" customHeight="1"/>
    <row r="764" ht="45" customHeight="1"/>
    <row r="765" ht="45" customHeight="1"/>
    <row r="766" ht="45" customHeight="1"/>
    <row r="767" ht="45" customHeight="1"/>
    <row r="768" ht="45" customHeight="1"/>
    <row r="769" ht="45" customHeight="1"/>
    <row r="770" ht="45" customHeight="1"/>
    <row r="771" ht="45" customHeight="1"/>
    <row r="772" ht="45" customHeight="1"/>
    <row r="773" ht="45" customHeight="1"/>
    <row r="774" ht="45" customHeight="1"/>
    <row r="775" ht="45" customHeight="1"/>
    <row r="776" ht="45" customHeight="1"/>
    <row r="777" ht="45" customHeight="1"/>
    <row r="778" ht="45" customHeight="1"/>
    <row r="779" ht="45" customHeight="1"/>
    <row r="780" ht="45" customHeight="1"/>
    <row r="781" ht="45" customHeight="1"/>
    <row r="782" ht="45" customHeight="1"/>
    <row r="783" ht="45" customHeight="1"/>
    <row r="784" ht="45" customHeight="1"/>
    <row r="785" ht="45" customHeight="1"/>
    <row r="786" ht="45" customHeight="1"/>
    <row r="787" ht="45" customHeight="1"/>
    <row r="788" ht="45" customHeight="1"/>
    <row r="789" ht="45" customHeight="1"/>
    <row r="790" ht="45" customHeight="1"/>
    <row r="791" ht="45" customHeight="1"/>
    <row r="792" ht="45" customHeight="1"/>
    <row r="793" ht="45" customHeight="1"/>
    <row r="794" ht="45" customHeight="1"/>
    <row r="795" ht="45" customHeight="1"/>
    <row r="796" ht="45" customHeight="1"/>
    <row r="797" ht="45" customHeight="1"/>
    <row r="798" ht="45" customHeight="1"/>
    <row r="799" ht="45" customHeight="1"/>
    <row r="800" ht="45" customHeight="1"/>
    <row r="801" ht="45" customHeight="1"/>
    <row r="802" ht="45" customHeight="1"/>
    <row r="803" ht="45" customHeight="1"/>
    <row r="804" ht="45" customHeight="1"/>
    <row r="805" ht="45" customHeight="1"/>
    <row r="806" ht="45" customHeight="1"/>
    <row r="807" ht="45" customHeight="1"/>
    <row r="808" ht="45" customHeight="1"/>
    <row r="809" ht="45" customHeight="1"/>
    <row r="810" ht="45" customHeight="1"/>
    <row r="811" ht="45" customHeight="1"/>
    <row r="812" ht="45" customHeight="1"/>
    <row r="813" ht="45" customHeight="1"/>
    <row r="814" ht="45" customHeight="1"/>
    <row r="815" ht="45" customHeight="1"/>
    <row r="816" ht="45" customHeight="1"/>
    <row r="817" ht="45" customHeight="1"/>
    <row r="818" ht="45" customHeight="1"/>
    <row r="819" ht="45" customHeight="1"/>
    <row r="820" ht="45" customHeight="1"/>
    <row r="821" ht="45" customHeight="1"/>
    <row r="822" ht="45" customHeight="1"/>
    <row r="823" ht="45" customHeight="1"/>
    <row r="824" ht="45" customHeight="1"/>
    <row r="825" ht="45" customHeight="1"/>
    <row r="826" ht="45" customHeight="1"/>
    <row r="827" ht="45" customHeight="1"/>
    <row r="828" ht="45" customHeight="1"/>
    <row r="829" ht="45" customHeight="1"/>
    <row r="830" ht="45" customHeight="1"/>
    <row r="831" ht="45" customHeight="1"/>
    <row r="832" ht="45" customHeight="1"/>
    <row r="833" ht="45" customHeight="1"/>
    <row r="834" ht="45" customHeight="1"/>
    <row r="835" ht="45" customHeight="1"/>
    <row r="836" ht="45" customHeight="1"/>
    <row r="837" ht="45" customHeight="1"/>
    <row r="838" ht="45" customHeight="1"/>
    <row r="839" ht="45" customHeight="1"/>
    <row r="840" ht="45" customHeight="1"/>
    <row r="841" ht="45" customHeight="1"/>
    <row r="842" ht="45" customHeight="1"/>
    <row r="843" ht="45" customHeight="1"/>
    <row r="844" ht="45" customHeight="1"/>
    <row r="845" ht="45" customHeight="1"/>
    <row r="846" ht="45" customHeight="1"/>
    <row r="847" ht="45" customHeight="1"/>
    <row r="848" ht="45" customHeight="1"/>
    <row r="849" ht="45" customHeight="1"/>
    <row r="850" ht="45" customHeight="1"/>
    <row r="851" ht="45" customHeight="1"/>
    <row r="852" ht="45" customHeight="1"/>
    <row r="853" ht="45" customHeight="1"/>
    <row r="854" ht="45" customHeight="1"/>
    <row r="855" ht="45" customHeight="1"/>
    <row r="856" ht="45" customHeight="1"/>
    <row r="857" ht="45" customHeight="1"/>
    <row r="858" ht="45" customHeight="1"/>
    <row r="859" ht="45" customHeight="1"/>
    <row r="860" ht="45" customHeight="1"/>
    <row r="861" ht="45" customHeight="1"/>
    <row r="862" ht="45" customHeight="1"/>
    <row r="863" ht="45" customHeight="1"/>
    <row r="864" ht="45" customHeight="1"/>
    <row r="865" ht="45" customHeight="1"/>
    <row r="866" ht="45" customHeight="1"/>
    <row r="867" ht="45" customHeight="1"/>
    <row r="868" ht="45" customHeight="1"/>
    <row r="869" ht="45" customHeight="1"/>
    <row r="870" ht="45" customHeight="1"/>
    <row r="871" ht="45" customHeight="1"/>
    <row r="872" ht="45" customHeight="1"/>
    <row r="873" ht="45" customHeight="1"/>
    <row r="874" ht="45" customHeight="1"/>
    <row r="875" ht="45" customHeight="1"/>
    <row r="876" ht="45" customHeight="1"/>
    <row r="877" ht="45" customHeight="1"/>
    <row r="878" ht="45" customHeight="1"/>
    <row r="879" ht="45" customHeight="1"/>
    <row r="880" ht="45" customHeight="1"/>
    <row r="881" ht="45" customHeight="1"/>
    <row r="882" ht="45" customHeight="1"/>
    <row r="883" ht="45" customHeight="1"/>
    <row r="884" ht="45" customHeight="1"/>
    <row r="885" ht="45" customHeight="1"/>
    <row r="886" ht="45" customHeight="1"/>
    <row r="887" ht="45" customHeight="1"/>
    <row r="888" ht="45" customHeight="1"/>
    <row r="889" ht="45" customHeight="1"/>
    <row r="890" ht="45" customHeight="1"/>
    <row r="891" ht="45" customHeight="1"/>
    <row r="892" ht="45" customHeight="1"/>
    <row r="893" ht="45" customHeight="1"/>
    <row r="894" ht="45" customHeight="1"/>
    <row r="895" ht="45" customHeight="1"/>
    <row r="896" ht="45" customHeight="1"/>
    <row r="897" ht="45" customHeight="1"/>
    <row r="898" ht="45" customHeight="1"/>
    <row r="899" ht="45" customHeight="1"/>
    <row r="900" ht="45" customHeight="1"/>
    <row r="901" ht="45" customHeight="1"/>
    <row r="902" ht="45" customHeight="1"/>
    <row r="903" ht="45" customHeight="1"/>
    <row r="904" ht="45" customHeight="1"/>
    <row r="905" ht="45" customHeight="1"/>
    <row r="906" ht="45" customHeight="1"/>
    <row r="907" ht="45" customHeight="1"/>
    <row r="908" ht="45" customHeight="1"/>
    <row r="909" ht="45" customHeight="1"/>
    <row r="910" ht="45" customHeight="1"/>
    <row r="911" ht="45" customHeight="1"/>
    <row r="912" ht="45" customHeight="1"/>
    <row r="913" ht="45" customHeight="1"/>
    <row r="914" ht="45" customHeight="1"/>
    <row r="915" ht="45" customHeight="1"/>
    <row r="916" ht="45" customHeight="1"/>
    <row r="917" ht="45" customHeight="1"/>
    <row r="918" ht="45" customHeight="1"/>
    <row r="919" ht="45" customHeight="1"/>
    <row r="920" ht="45" customHeight="1"/>
    <row r="921" ht="45" customHeight="1"/>
    <row r="922" ht="45" customHeight="1"/>
    <row r="923" ht="45" customHeight="1"/>
    <row r="924" ht="45" customHeight="1"/>
    <row r="925" ht="45" customHeight="1"/>
    <row r="926" ht="45" customHeight="1"/>
    <row r="927" ht="45" customHeight="1"/>
    <row r="928" ht="45" customHeight="1"/>
    <row r="929" ht="45" customHeight="1"/>
    <row r="930" ht="45" customHeight="1"/>
    <row r="931" ht="45" customHeight="1"/>
    <row r="932" ht="45" customHeight="1"/>
    <row r="933" ht="45" customHeight="1"/>
    <row r="934" ht="45" customHeight="1"/>
    <row r="935" ht="45" customHeight="1"/>
    <row r="936" ht="45" customHeight="1"/>
    <row r="937" ht="45" customHeight="1"/>
    <row r="938" ht="45" customHeight="1"/>
    <row r="939" ht="45" customHeight="1"/>
    <row r="940" ht="45" customHeight="1"/>
    <row r="941" ht="45" customHeight="1"/>
    <row r="942" ht="45" customHeight="1"/>
    <row r="943" ht="45" customHeight="1"/>
    <row r="944" ht="45" customHeight="1"/>
    <row r="945" ht="45" customHeight="1"/>
    <row r="946" ht="45" customHeight="1"/>
    <row r="947" ht="45" customHeight="1"/>
    <row r="948" ht="45" customHeight="1"/>
    <row r="949" ht="45" customHeight="1"/>
    <row r="950" ht="45" customHeight="1"/>
    <row r="951" ht="45" customHeight="1"/>
    <row r="952" ht="45" customHeight="1"/>
    <row r="953" ht="45" customHeight="1"/>
    <row r="954" ht="45" customHeight="1"/>
    <row r="955" ht="45" customHeight="1"/>
    <row r="956" ht="45" customHeight="1"/>
    <row r="957" ht="45" customHeight="1"/>
    <row r="958" ht="45" customHeight="1"/>
    <row r="959" ht="45" customHeight="1"/>
    <row r="960" ht="45" customHeight="1"/>
    <row r="961" ht="45" customHeight="1"/>
    <row r="962" ht="45" customHeight="1"/>
    <row r="963" ht="45" customHeight="1"/>
    <row r="964" ht="45" customHeight="1"/>
    <row r="965" ht="45" customHeight="1"/>
    <row r="966" ht="45" customHeight="1"/>
    <row r="967" ht="45" customHeight="1"/>
    <row r="968" ht="45" customHeight="1"/>
    <row r="969" ht="45" customHeight="1"/>
    <row r="970" ht="45" customHeight="1"/>
    <row r="971" ht="45" customHeight="1"/>
    <row r="972" ht="45" customHeight="1"/>
    <row r="973" ht="45" customHeight="1"/>
    <row r="974" ht="45" customHeight="1"/>
    <row r="975" ht="45" customHeight="1"/>
    <row r="976" ht="45" customHeight="1"/>
    <row r="977" ht="45" customHeight="1"/>
    <row r="978" ht="45" customHeight="1"/>
    <row r="979" ht="45" customHeight="1"/>
    <row r="980" ht="45" customHeight="1"/>
    <row r="981" ht="45" customHeight="1"/>
    <row r="982" ht="45" customHeight="1"/>
    <row r="983" ht="45" customHeight="1"/>
    <row r="984" ht="45" customHeight="1"/>
    <row r="985" ht="45" customHeight="1"/>
    <row r="986" ht="45" customHeight="1"/>
    <row r="987" ht="45" customHeight="1"/>
    <row r="988" ht="45" customHeight="1"/>
    <row r="989" ht="45" customHeight="1"/>
    <row r="990" ht="45" customHeight="1"/>
    <row r="991" ht="45" customHeight="1"/>
    <row r="992" ht="45" customHeight="1"/>
    <row r="993" ht="45" customHeight="1"/>
    <row r="994" ht="45" customHeight="1"/>
    <row r="995" ht="45" customHeight="1"/>
    <row r="996" ht="45" customHeight="1"/>
    <row r="997" ht="45" customHeight="1"/>
    <row r="998" ht="45" customHeight="1"/>
    <row r="999" ht="45" customHeight="1"/>
    <row r="1000" ht="45" customHeight="1"/>
  </sheetData>
  <mergeCells count="13">
    <mergeCell ref="D164:H164"/>
    <mergeCell ref="D12:D13"/>
    <mergeCell ref="E12:E13"/>
    <mergeCell ref="F12:F13"/>
    <mergeCell ref="G12:G13"/>
    <mergeCell ref="H12:H13"/>
    <mergeCell ref="A1:O1"/>
    <mergeCell ref="A2:O2"/>
    <mergeCell ref="A12:C12"/>
    <mergeCell ref="K12:L12"/>
    <mergeCell ref="M12:O12"/>
    <mergeCell ref="I12:I13"/>
    <mergeCell ref="J12:J13"/>
  </mergeCells>
  <dataValidations count="3">
    <dataValidation type="list" allowBlank="1" showInputMessage="1" showErrorMessage="1" prompt="Agama - Islam Hindu Budha Khonghucu Kristen Protestan Katolik Kristen" sqref="H157 H72:H95 H97:H123 H125:H155" xr:uid="{00000000-0002-0000-0000-000000000000}">
      <formula1>"Islam,Hindu,Budha,Khonghucu,Kristen Protestan,Katolik,Kristen"</formula1>
    </dataValidation>
    <dataValidation type="list" allowBlank="1" showErrorMessage="1" sqref="E15:E45 E47:E95 E97:E127 E129:E157" xr:uid="{00000000-0002-0000-0000-000001000000}">
      <formula1>$AA$8:$AA$10</formula1>
    </dataValidation>
    <dataValidation type="list" allowBlank="1" showInputMessage="1" showErrorMessage="1" prompt="Agama - Islam_x000a_Hindu_x000a_Budha_x000a_Khonghucu_x000a_Kristen Protestan_x000a_Katolik_x000a_Kristen" sqref="H47:H71" xr:uid="{00000000-0002-0000-0000-000002000000}">
      <formula1>"Islam,Hindu,Budha,Khonghucu,Kristen Protestan,Katolik,Kristen"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1"/>
  <sheetViews>
    <sheetView zoomScale="75" zoomScaleNormal="75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A34" sqref="A34"/>
    </sheetView>
  </sheetViews>
  <sheetFormatPr defaultColWidth="9" defaultRowHeight="14.4"/>
  <cols>
    <col min="1" max="1" width="28.44140625" customWidth="1"/>
    <col min="2" max="2" width="23" customWidth="1"/>
    <col min="3" max="3" width="22.5546875" customWidth="1"/>
    <col min="4" max="4" width="20.77734375" customWidth="1"/>
    <col min="5" max="5" width="30" customWidth="1"/>
    <col min="7" max="22" width="15.6640625" customWidth="1"/>
    <col min="23" max="23" width="25.21875" customWidth="1"/>
    <col min="24" max="24" width="17.77734375" customWidth="1"/>
    <col min="25" max="25" width="9" customWidth="1"/>
  </cols>
  <sheetData>
    <row r="1" spans="1:25" ht="31.5" customHeight="1">
      <c r="A1" s="81" t="s">
        <v>867</v>
      </c>
      <c r="B1" s="82" t="s">
        <v>27</v>
      </c>
      <c r="C1" s="82" t="s">
        <v>868</v>
      </c>
      <c r="D1" s="82" t="s">
        <v>869</v>
      </c>
      <c r="E1" s="81" t="s">
        <v>870</v>
      </c>
      <c r="F1" s="81" t="s">
        <v>871</v>
      </c>
      <c r="G1" s="88" t="s">
        <v>872</v>
      </c>
      <c r="H1" s="88" t="s">
        <v>873</v>
      </c>
      <c r="I1" s="88" t="s">
        <v>874</v>
      </c>
      <c r="J1" s="88" t="s">
        <v>875</v>
      </c>
      <c r="K1" s="88" t="s">
        <v>876</v>
      </c>
      <c r="L1" s="88" t="s">
        <v>877</v>
      </c>
      <c r="M1" s="88" t="s">
        <v>878</v>
      </c>
      <c r="N1" s="88" t="s">
        <v>879</v>
      </c>
      <c r="O1" s="88" t="s">
        <v>880</v>
      </c>
      <c r="P1" s="88" t="s">
        <v>881</v>
      </c>
      <c r="Q1" s="88" t="s">
        <v>882</v>
      </c>
      <c r="R1" s="88" t="s">
        <v>883</v>
      </c>
      <c r="S1" s="88" t="s">
        <v>884</v>
      </c>
      <c r="T1" s="88" t="s">
        <v>885</v>
      </c>
      <c r="U1" s="88" t="s">
        <v>886</v>
      </c>
      <c r="V1" s="88" t="s">
        <v>887</v>
      </c>
      <c r="W1" s="81" t="s">
        <v>888</v>
      </c>
      <c r="X1" s="89" t="s">
        <v>28</v>
      </c>
      <c r="Y1" s="306" t="s">
        <v>1272</v>
      </c>
    </row>
    <row r="2" spans="1:25" ht="15.6">
      <c r="A2" t="str">
        <f>'DATA US'!D47</f>
        <v>AA DITIA FRATAMA</v>
      </c>
      <c r="B2">
        <f>'DATA US'!B47</f>
        <v>222310030</v>
      </c>
      <c r="C2" s="83" t="s">
        <v>519</v>
      </c>
      <c r="D2" s="85" t="s">
        <v>231</v>
      </c>
      <c r="E2" t="s">
        <v>889</v>
      </c>
      <c r="F2" t="s">
        <v>36</v>
      </c>
      <c r="G2" s="77">
        <v>84.88</v>
      </c>
      <c r="H2" s="77">
        <v>85.64</v>
      </c>
      <c r="I2" s="77">
        <v>89.66</v>
      </c>
      <c r="J2" s="77">
        <v>83.86</v>
      </c>
      <c r="K2" s="77">
        <v>84</v>
      </c>
      <c r="L2" s="77">
        <v>83.76</v>
      </c>
      <c r="M2" s="77">
        <v>81</v>
      </c>
      <c r="N2" s="77">
        <v>85.1</v>
      </c>
      <c r="O2" s="77">
        <v>83</v>
      </c>
      <c r="P2" s="77">
        <v>77</v>
      </c>
      <c r="Q2" s="77">
        <v>83.5</v>
      </c>
      <c r="R2" s="77">
        <v>82.5</v>
      </c>
      <c r="S2" s="77">
        <v>82</v>
      </c>
      <c r="T2" s="77">
        <v>85.841666666666697</v>
      </c>
      <c r="U2" s="77">
        <v>83.841666666666697</v>
      </c>
      <c r="V2" s="77">
        <v>83.566666666666706</v>
      </c>
      <c r="W2" t="str">
        <f>'DATA US'!I47</f>
        <v>DEDI</v>
      </c>
      <c r="X2" t="str">
        <f>'DATA US'!C47</f>
        <v>0076215153</v>
      </c>
      <c r="Y2" s="307" t="s">
        <v>1273</v>
      </c>
    </row>
    <row r="3" spans="1:25" ht="15.6">
      <c r="A3" t="str">
        <f>'DATA US'!D48</f>
        <v>ABDULLAH AHMAD FAUZAN</v>
      </c>
      <c r="B3">
        <f>'DATA US'!B48</f>
        <v>222310031</v>
      </c>
      <c r="C3" s="83" t="s">
        <v>660</v>
      </c>
      <c r="D3" s="85" t="s">
        <v>238</v>
      </c>
      <c r="E3" t="s">
        <v>889</v>
      </c>
      <c r="F3" t="s">
        <v>36</v>
      </c>
      <c r="G3" s="77">
        <v>82.92</v>
      </c>
      <c r="H3" s="77">
        <v>81.58</v>
      </c>
      <c r="I3" s="77">
        <v>87.2</v>
      </c>
      <c r="J3" s="77">
        <v>80.62</v>
      </c>
      <c r="K3" s="77">
        <v>80.5</v>
      </c>
      <c r="L3" s="77">
        <v>80.900000000000006</v>
      </c>
      <c r="M3" s="77">
        <v>80.5</v>
      </c>
      <c r="N3" s="77">
        <v>85.3</v>
      </c>
      <c r="O3" s="77">
        <v>80.5</v>
      </c>
      <c r="P3" s="77">
        <v>80.5</v>
      </c>
      <c r="Q3" s="77">
        <v>83</v>
      </c>
      <c r="R3" s="77">
        <v>82</v>
      </c>
      <c r="S3" s="77">
        <v>79.1666666666667</v>
      </c>
      <c r="T3" s="77">
        <v>79</v>
      </c>
      <c r="U3" s="77">
        <v>81.969333333333296</v>
      </c>
      <c r="V3" s="77">
        <v>82.566666666666706</v>
      </c>
      <c r="W3" t="str">
        <f>'DATA US'!I48</f>
        <v>AHMAD SUJURLIAN</v>
      </c>
      <c r="X3" t="str">
        <f>'DATA US'!C48</f>
        <v>0064677701</v>
      </c>
      <c r="Y3" s="308" t="s">
        <v>1274</v>
      </c>
    </row>
    <row r="4" spans="1:25" ht="15.6">
      <c r="A4" t="str">
        <f>'DATA US'!D15</f>
        <v>ADAM ZAKIE RAMADHAN</v>
      </c>
      <c r="B4">
        <f>'DATA US'!B15</f>
        <v>222310001</v>
      </c>
      <c r="C4" s="83" t="s">
        <v>519</v>
      </c>
      <c r="D4" s="84" t="s">
        <v>38</v>
      </c>
      <c r="E4" t="s">
        <v>889</v>
      </c>
      <c r="F4" t="s">
        <v>36</v>
      </c>
      <c r="G4" s="77">
        <v>84.44</v>
      </c>
      <c r="H4" s="77">
        <v>85.7</v>
      </c>
      <c r="I4" s="77">
        <v>90.58</v>
      </c>
      <c r="J4" s="77">
        <v>89.92</v>
      </c>
      <c r="K4" s="77">
        <v>85</v>
      </c>
      <c r="L4" s="77">
        <v>85.24</v>
      </c>
      <c r="M4" s="77">
        <v>81.5</v>
      </c>
      <c r="N4" s="77">
        <v>84.9</v>
      </c>
      <c r="O4" s="77">
        <v>84.5</v>
      </c>
      <c r="P4" s="77">
        <v>80.5</v>
      </c>
      <c r="Q4" s="77">
        <v>86</v>
      </c>
      <c r="R4" s="77">
        <v>83.5</v>
      </c>
      <c r="S4" s="77">
        <v>80.3333333333333</v>
      </c>
      <c r="T4" s="77">
        <v>84.5</v>
      </c>
      <c r="U4" s="77">
        <v>84.307333333333304</v>
      </c>
      <c r="V4" s="77">
        <v>85.366666666666703</v>
      </c>
      <c r="W4" t="str">
        <f>'DATA US'!I15</f>
        <v xml:space="preserve">BOIH </v>
      </c>
      <c r="X4" t="str">
        <f>'DATA US'!C15</f>
        <v>0072124779</v>
      </c>
      <c r="Y4" s="308" t="s">
        <v>1275</v>
      </c>
    </row>
    <row r="5" spans="1:25" ht="15.6">
      <c r="A5" t="str">
        <f>'DATA US'!D72</f>
        <v>ADHITYA PRATAMA</v>
      </c>
      <c r="B5">
        <f>'DATA US'!B72</f>
        <v>222310056</v>
      </c>
      <c r="C5" s="83" t="s">
        <v>519</v>
      </c>
      <c r="D5" s="85" t="s">
        <v>375</v>
      </c>
      <c r="E5" t="s">
        <v>889</v>
      </c>
      <c r="F5" t="s">
        <v>36</v>
      </c>
      <c r="G5" s="77">
        <v>83.08</v>
      </c>
      <c r="H5" s="77">
        <v>85.2</v>
      </c>
      <c r="I5" s="77">
        <v>88.06</v>
      </c>
      <c r="J5" s="77">
        <v>83.8</v>
      </c>
      <c r="K5" s="77">
        <v>86</v>
      </c>
      <c r="L5" s="77">
        <v>84.48</v>
      </c>
      <c r="M5" s="77">
        <v>82</v>
      </c>
      <c r="N5" s="77">
        <v>85.8</v>
      </c>
      <c r="O5" s="77">
        <v>84.5</v>
      </c>
      <c r="P5" s="77">
        <v>81.5</v>
      </c>
      <c r="Q5" s="77">
        <v>84</v>
      </c>
      <c r="R5" s="77">
        <v>86.5</v>
      </c>
      <c r="S5" s="77">
        <v>82.3333333333333</v>
      </c>
      <c r="T5" s="77">
        <v>85.058333333333294</v>
      </c>
      <c r="U5" s="77">
        <v>84.335999999999999</v>
      </c>
      <c r="V5" s="77">
        <v>84.335999999999999</v>
      </c>
      <c r="W5" t="str">
        <f>'DATA US'!I72</f>
        <v>TUGIYO</v>
      </c>
      <c r="X5" t="str">
        <f>'DATA US'!C72</f>
        <v>0069773854</v>
      </c>
      <c r="Y5" s="308" t="s">
        <v>1276</v>
      </c>
    </row>
    <row r="6" spans="1:25" ht="15.6">
      <c r="A6" t="str">
        <f>'DATA US'!D73</f>
        <v>AHMAD ROZIKIN</v>
      </c>
      <c r="B6">
        <f>'DATA US'!B73</f>
        <v>222310057</v>
      </c>
      <c r="C6" s="83" t="s">
        <v>660</v>
      </c>
      <c r="D6" s="85" t="s">
        <v>380</v>
      </c>
      <c r="E6" t="s">
        <v>889</v>
      </c>
      <c r="F6" t="s">
        <v>36</v>
      </c>
      <c r="G6" s="77">
        <v>82.33</v>
      </c>
      <c r="H6" s="77">
        <v>83.8</v>
      </c>
      <c r="I6" s="77">
        <v>89.89</v>
      </c>
      <c r="J6" s="77">
        <v>87.38</v>
      </c>
      <c r="K6" s="77">
        <v>82</v>
      </c>
      <c r="L6" s="77">
        <v>83.02</v>
      </c>
      <c r="M6" s="77">
        <v>82</v>
      </c>
      <c r="N6" s="77">
        <v>81.400000000000006</v>
      </c>
      <c r="O6" s="77">
        <v>82.5</v>
      </c>
      <c r="P6" s="77">
        <v>77.5</v>
      </c>
      <c r="Q6" s="77">
        <v>83</v>
      </c>
      <c r="R6" s="77">
        <v>83.5</v>
      </c>
      <c r="S6" s="77">
        <v>79.8333333333333</v>
      </c>
      <c r="T6" s="77">
        <v>85.875</v>
      </c>
      <c r="U6" s="77">
        <v>83.287666666666695</v>
      </c>
      <c r="V6" s="77">
        <v>83.287666666666695</v>
      </c>
      <c r="W6" t="str">
        <f>'DATA US'!I73</f>
        <v>DIWANTO</v>
      </c>
      <c r="X6" t="str">
        <f>'DATA US'!C73</f>
        <v>0066401952</v>
      </c>
      <c r="Y6" s="308" t="s">
        <v>1277</v>
      </c>
    </row>
    <row r="7" spans="1:25" ht="15.6">
      <c r="A7" t="str">
        <f>'DATA US'!D74</f>
        <v>AKBAR</v>
      </c>
      <c r="B7">
        <f>'DATA US'!B74</f>
        <v>222310058</v>
      </c>
      <c r="C7" s="83" t="s">
        <v>898</v>
      </c>
      <c r="D7" s="85" t="s">
        <v>387</v>
      </c>
      <c r="E7" t="s">
        <v>889</v>
      </c>
      <c r="F7" t="s">
        <v>36</v>
      </c>
      <c r="G7" s="77">
        <v>82.88</v>
      </c>
      <c r="H7" s="77">
        <v>83.74</v>
      </c>
      <c r="I7" s="77">
        <v>85.07</v>
      </c>
      <c r="J7" s="77">
        <v>79.28</v>
      </c>
      <c r="K7" s="77">
        <v>84</v>
      </c>
      <c r="L7" s="77">
        <v>83.02</v>
      </c>
      <c r="M7" s="77">
        <v>83</v>
      </c>
      <c r="N7" s="77">
        <v>86.8</v>
      </c>
      <c r="O7" s="77">
        <v>82.5</v>
      </c>
      <c r="P7" s="77">
        <v>79.5</v>
      </c>
      <c r="Q7" s="77">
        <v>83</v>
      </c>
      <c r="R7" s="77">
        <v>84.5</v>
      </c>
      <c r="S7" s="77">
        <v>79.8333333333333</v>
      </c>
      <c r="T7" s="77">
        <v>83.883333333333297</v>
      </c>
      <c r="U7" s="77">
        <v>82.794499999999999</v>
      </c>
      <c r="V7" s="77">
        <v>82.794499999999999</v>
      </c>
      <c r="W7" t="str">
        <f>'DATA US'!I74</f>
        <v>SUKIMAN</v>
      </c>
      <c r="X7" t="str">
        <f>'DATA US'!C74</f>
        <v>0072498885</v>
      </c>
      <c r="Y7" s="308" t="s">
        <v>1278</v>
      </c>
    </row>
    <row r="8" spans="1:25" ht="15.6">
      <c r="A8" t="str">
        <f>'DATA US'!D16</f>
        <v>AKSAY SETIA AJI</v>
      </c>
      <c r="B8">
        <f>'DATA US'!B16</f>
        <v>222310002</v>
      </c>
      <c r="C8" s="83" t="s">
        <v>519</v>
      </c>
      <c r="D8" s="84" t="s">
        <v>48</v>
      </c>
      <c r="E8" t="s">
        <v>889</v>
      </c>
      <c r="F8" t="s">
        <v>36</v>
      </c>
      <c r="G8" s="77">
        <v>83.34</v>
      </c>
      <c r="H8" s="77">
        <v>83.28</v>
      </c>
      <c r="I8" s="77">
        <v>86.12</v>
      </c>
      <c r="J8" s="77">
        <v>88.76</v>
      </c>
      <c r="K8" s="77">
        <v>85</v>
      </c>
      <c r="L8" s="77">
        <v>83.22</v>
      </c>
      <c r="M8" s="77">
        <v>81.5</v>
      </c>
      <c r="N8" s="77">
        <v>86</v>
      </c>
      <c r="O8" s="77">
        <v>82.5</v>
      </c>
      <c r="P8" s="77">
        <v>79</v>
      </c>
      <c r="Q8" s="77">
        <v>86</v>
      </c>
      <c r="R8" s="77">
        <v>85</v>
      </c>
      <c r="S8" s="77">
        <v>79.5</v>
      </c>
      <c r="T8" s="77">
        <v>85.183333333333294</v>
      </c>
      <c r="U8" s="77">
        <v>83.684333333333299</v>
      </c>
      <c r="V8" s="77">
        <v>84.733333333333306</v>
      </c>
      <c r="W8" t="str">
        <f>'DATA US'!I16</f>
        <v>TUGIYANTO</v>
      </c>
      <c r="X8" t="str">
        <f>'DATA US'!C16</f>
        <v>0077315289</v>
      </c>
      <c r="Y8" s="308" t="s">
        <v>1279</v>
      </c>
    </row>
    <row r="9" spans="1:25" ht="15.6">
      <c r="A9" t="str">
        <f>'DATA US'!D17</f>
        <v>ALFRIYANSYAH FINDO SALMAN</v>
      </c>
      <c r="B9">
        <f>'DATA US'!B17</f>
        <v>222310003</v>
      </c>
      <c r="C9" s="83" t="s">
        <v>519</v>
      </c>
      <c r="D9" s="84" t="s">
        <v>54</v>
      </c>
      <c r="E9" t="s">
        <v>889</v>
      </c>
      <c r="F9" t="s">
        <v>36</v>
      </c>
      <c r="G9" s="77">
        <v>82.82</v>
      </c>
      <c r="H9" s="77">
        <v>84.08</v>
      </c>
      <c r="I9" s="77">
        <v>83.91</v>
      </c>
      <c r="J9" s="77">
        <v>83.62</v>
      </c>
      <c r="K9" s="77">
        <v>83</v>
      </c>
      <c r="L9" s="77">
        <v>82.2</v>
      </c>
      <c r="M9" s="77">
        <v>81</v>
      </c>
      <c r="N9" s="77">
        <v>85.7</v>
      </c>
      <c r="O9" s="77">
        <v>80.5</v>
      </c>
      <c r="P9" s="77">
        <v>79</v>
      </c>
      <c r="Q9" s="77">
        <v>84.5</v>
      </c>
      <c r="R9" s="77">
        <v>82.5</v>
      </c>
      <c r="S9" s="77">
        <v>75.6666666666667</v>
      </c>
      <c r="T9" s="77">
        <v>82.875</v>
      </c>
      <c r="U9" s="77">
        <v>81.724833333333294</v>
      </c>
      <c r="V9" s="77">
        <v>83.1666666666667</v>
      </c>
      <c r="W9" t="str">
        <f>'DATA US'!I17</f>
        <v>SUROSO</v>
      </c>
      <c r="X9" t="str">
        <f>'DATA US'!C17</f>
        <v>0078124071</v>
      </c>
      <c r="Y9" s="308" t="s">
        <v>1280</v>
      </c>
    </row>
    <row r="10" spans="1:25" ht="15.6">
      <c r="A10" t="str">
        <f>'DATA US'!D75</f>
        <v>AMMAR ABDULLAH</v>
      </c>
      <c r="B10">
        <f>'DATA US'!B75</f>
        <v>222310148</v>
      </c>
      <c r="C10" s="83" t="s">
        <v>519</v>
      </c>
      <c r="D10" s="87" t="s">
        <v>393</v>
      </c>
      <c r="E10" t="s">
        <v>889</v>
      </c>
      <c r="F10" t="s">
        <v>36</v>
      </c>
      <c r="G10" s="77">
        <v>84.72</v>
      </c>
      <c r="H10" s="77">
        <v>84.28</v>
      </c>
      <c r="I10" s="77">
        <v>88.87</v>
      </c>
      <c r="J10" s="77">
        <v>87.08</v>
      </c>
      <c r="K10" s="77">
        <v>86</v>
      </c>
      <c r="L10" s="77">
        <v>80.739999999999995</v>
      </c>
      <c r="M10" s="77">
        <v>78</v>
      </c>
      <c r="N10" s="77">
        <v>86.6</v>
      </c>
      <c r="O10" s="77">
        <v>79.5</v>
      </c>
      <c r="P10" s="77">
        <v>84.5</v>
      </c>
      <c r="Q10" s="77">
        <v>78</v>
      </c>
      <c r="R10" s="77">
        <v>79.5</v>
      </c>
      <c r="S10" s="77">
        <v>78.5</v>
      </c>
      <c r="T10" s="77">
        <v>85.408333333333303</v>
      </c>
      <c r="U10" s="77">
        <v>82.974500000000006</v>
      </c>
      <c r="V10" s="77">
        <v>82.974500000000006</v>
      </c>
      <c r="W10" t="str">
        <f>'DATA US'!I75</f>
        <v>DASIM</v>
      </c>
      <c r="X10" t="str">
        <f>'DATA US'!C75</f>
        <v>0076027666</v>
      </c>
      <c r="Y10" s="308" t="s">
        <v>1281</v>
      </c>
    </row>
    <row r="11" spans="1:25" ht="15.6">
      <c r="A11" t="str">
        <f>'DATA US'!D76</f>
        <v>ANANDA S DEWA</v>
      </c>
      <c r="B11">
        <f>'DATA US'!B76</f>
        <v>222310059</v>
      </c>
      <c r="C11" s="83" t="s">
        <v>519</v>
      </c>
      <c r="D11" s="85" t="s">
        <v>399</v>
      </c>
      <c r="E11" t="s">
        <v>889</v>
      </c>
      <c r="F11" t="s">
        <v>36</v>
      </c>
      <c r="G11" s="77">
        <v>82.77</v>
      </c>
      <c r="H11" s="77">
        <v>84.62</v>
      </c>
      <c r="I11" s="77">
        <v>87.53</v>
      </c>
      <c r="J11" s="77">
        <v>85.5</v>
      </c>
      <c r="K11" s="77">
        <v>79</v>
      </c>
      <c r="L11" s="77">
        <v>83.06</v>
      </c>
      <c r="M11" s="77">
        <v>82</v>
      </c>
      <c r="N11" s="77">
        <v>84.8</v>
      </c>
      <c r="O11" s="77">
        <v>81</v>
      </c>
      <c r="P11" s="77">
        <v>78</v>
      </c>
      <c r="Q11" s="77">
        <v>83</v>
      </c>
      <c r="R11" s="77">
        <v>84</v>
      </c>
      <c r="S11" s="77">
        <v>81</v>
      </c>
      <c r="T11" s="77">
        <v>84.808333333333294</v>
      </c>
      <c r="U11" s="77">
        <v>83.110666666666702</v>
      </c>
      <c r="V11" s="77">
        <v>83.110666666666702</v>
      </c>
      <c r="W11" t="str">
        <f>'DATA US'!I76</f>
        <v>NATA SUNANDAR</v>
      </c>
      <c r="X11" t="str">
        <f>'DATA US'!C76</f>
        <v>0073486388</v>
      </c>
      <c r="Y11" s="308" t="s">
        <v>1282</v>
      </c>
    </row>
    <row r="12" spans="1:25" ht="15.6">
      <c r="A12" t="str">
        <f>'DATA US'!D49</f>
        <v>ANDIKA SAPUTRA</v>
      </c>
      <c r="B12">
        <f>'DATA US'!B49</f>
        <v>222310032</v>
      </c>
      <c r="C12" s="83" t="s">
        <v>519</v>
      </c>
      <c r="D12" s="85" t="s">
        <v>124</v>
      </c>
      <c r="E12" t="s">
        <v>889</v>
      </c>
      <c r="F12" t="s">
        <v>36</v>
      </c>
      <c r="G12" s="77">
        <v>84.9</v>
      </c>
      <c r="H12" s="77">
        <v>84.36</v>
      </c>
      <c r="I12" s="77">
        <v>89.96</v>
      </c>
      <c r="J12" s="77">
        <v>89.58</v>
      </c>
      <c r="K12" s="77">
        <v>86</v>
      </c>
      <c r="L12" s="77">
        <v>89.42</v>
      </c>
      <c r="M12" s="77">
        <v>82</v>
      </c>
      <c r="N12" s="77">
        <v>86.4</v>
      </c>
      <c r="O12" s="77">
        <v>84.5</v>
      </c>
      <c r="P12" s="77">
        <v>82.5</v>
      </c>
      <c r="Q12" s="77">
        <v>83.5</v>
      </c>
      <c r="R12" s="77">
        <v>84</v>
      </c>
      <c r="S12" s="77">
        <v>81.8333333333333</v>
      </c>
      <c r="T12" s="77">
        <v>86.266666666666694</v>
      </c>
      <c r="U12" s="77">
        <v>85.147666666666694</v>
      </c>
      <c r="V12" s="77">
        <v>85.266666666666694</v>
      </c>
      <c r="W12" t="str">
        <f>'DATA US'!I49</f>
        <v>NARTA</v>
      </c>
      <c r="X12" t="str">
        <f>'DATA US'!C49</f>
        <v>0076929544</v>
      </c>
      <c r="Y12" s="308" t="s">
        <v>1283</v>
      </c>
    </row>
    <row r="13" spans="1:25" ht="15.6">
      <c r="A13" t="str">
        <f>'DATA US'!D77</f>
        <v>ARDIAN PUTRA PRATAMA</v>
      </c>
      <c r="B13">
        <f>'DATA US'!B77</f>
        <v>222310060</v>
      </c>
      <c r="C13" s="83" t="s">
        <v>893</v>
      </c>
      <c r="D13" s="85" t="s">
        <v>405</v>
      </c>
      <c r="E13" t="s">
        <v>889</v>
      </c>
      <c r="F13" t="s">
        <v>36</v>
      </c>
      <c r="G13" s="77">
        <v>81.92</v>
      </c>
      <c r="H13" s="77">
        <v>83.8</v>
      </c>
      <c r="I13" s="77">
        <v>89.53</v>
      </c>
      <c r="J13" s="77">
        <v>83.48</v>
      </c>
      <c r="K13" s="77">
        <v>85</v>
      </c>
      <c r="L13" s="77">
        <v>83.56</v>
      </c>
      <c r="M13" s="77">
        <v>82</v>
      </c>
      <c r="N13" s="77">
        <v>82.6</v>
      </c>
      <c r="O13" s="77">
        <v>81.5</v>
      </c>
      <c r="P13" s="77">
        <v>78.5</v>
      </c>
      <c r="Q13" s="77">
        <v>84</v>
      </c>
      <c r="R13" s="77">
        <v>83</v>
      </c>
      <c r="S13" s="77">
        <v>80.6666666666667</v>
      </c>
      <c r="T13" s="77">
        <v>86.258333333333297</v>
      </c>
      <c r="U13" s="77">
        <v>83.487833333333299</v>
      </c>
      <c r="V13" s="77">
        <v>83.487833333333299</v>
      </c>
      <c r="W13" t="str">
        <f>'DATA US'!I77</f>
        <v>MADIYONO</v>
      </c>
      <c r="X13" t="str">
        <f>'DATA US'!C77</f>
        <v>0079924122</v>
      </c>
      <c r="Y13" s="308" t="s">
        <v>1284</v>
      </c>
    </row>
    <row r="14" spans="1:25" ht="15.6">
      <c r="A14" t="str">
        <f>'DATA US'!D50</f>
        <v>ARFHANSYAH PUTRA</v>
      </c>
      <c r="B14">
        <f>'DATA US'!B50</f>
        <v>222310033</v>
      </c>
      <c r="C14" s="83" t="s">
        <v>519</v>
      </c>
      <c r="D14" s="85" t="s">
        <v>248</v>
      </c>
      <c r="E14" t="s">
        <v>889</v>
      </c>
      <c r="F14" t="s">
        <v>36</v>
      </c>
      <c r="G14" s="77">
        <v>82.94</v>
      </c>
      <c r="H14" s="77">
        <v>82.96</v>
      </c>
      <c r="I14" s="77">
        <v>87.74</v>
      </c>
      <c r="J14" s="77">
        <v>82.06</v>
      </c>
      <c r="K14" s="77">
        <v>84</v>
      </c>
      <c r="L14" s="77">
        <v>80.56</v>
      </c>
      <c r="M14" s="77">
        <v>81</v>
      </c>
      <c r="N14" s="77">
        <v>84.5</v>
      </c>
      <c r="O14" s="77">
        <v>84.5</v>
      </c>
      <c r="P14" s="77">
        <v>78</v>
      </c>
      <c r="Q14" s="77">
        <v>83</v>
      </c>
      <c r="R14" s="77">
        <v>82.5</v>
      </c>
      <c r="S14" s="77">
        <v>81</v>
      </c>
      <c r="T14" s="77">
        <v>83.95</v>
      </c>
      <c r="U14" s="77">
        <v>82.817999999999998</v>
      </c>
      <c r="V14" s="77">
        <v>83.8</v>
      </c>
      <c r="W14" t="str">
        <f>'DATA US'!I50</f>
        <v>AMIN AHMADI</v>
      </c>
      <c r="X14" t="str">
        <f>'DATA US'!C50</f>
        <v>0061065498</v>
      </c>
      <c r="Y14" s="308" t="s">
        <v>1285</v>
      </c>
    </row>
    <row r="15" spans="1:25" ht="15.6">
      <c r="A15" t="str">
        <f>'DATA US'!D78</f>
        <v>ARI SETIAWAN</v>
      </c>
      <c r="B15">
        <f>'DATA US'!B78</f>
        <v>222310062</v>
      </c>
      <c r="C15" s="83" t="s">
        <v>519</v>
      </c>
      <c r="D15" s="85" t="s">
        <v>411</v>
      </c>
      <c r="E15" t="s">
        <v>889</v>
      </c>
      <c r="F15" t="s">
        <v>36</v>
      </c>
      <c r="G15" s="77">
        <v>84.84</v>
      </c>
      <c r="H15" s="77">
        <v>87.2</v>
      </c>
      <c r="I15" s="77">
        <v>90.93</v>
      </c>
      <c r="J15" s="77">
        <v>85.82</v>
      </c>
      <c r="K15" s="77">
        <v>86</v>
      </c>
      <c r="L15" s="77">
        <v>88.1</v>
      </c>
      <c r="M15" s="77">
        <v>82</v>
      </c>
      <c r="N15" s="77">
        <v>88.8</v>
      </c>
      <c r="O15" s="77">
        <v>86.5</v>
      </c>
      <c r="P15" s="77">
        <v>82</v>
      </c>
      <c r="Q15" s="77">
        <v>85</v>
      </c>
      <c r="R15" s="77">
        <v>85.5</v>
      </c>
      <c r="S15" s="77">
        <v>83.3333333333333</v>
      </c>
      <c r="T15" s="77">
        <v>86.474999999999994</v>
      </c>
      <c r="U15" s="77">
        <v>85.637833333333305</v>
      </c>
      <c r="V15" s="77">
        <v>85.637833333333305</v>
      </c>
      <c r="W15" t="str">
        <f>'DATA US'!I78</f>
        <v>ENDANG S TORINA</v>
      </c>
      <c r="X15" t="str">
        <f>'DATA US'!C78</f>
        <v>0075084595</v>
      </c>
      <c r="Y15" s="308" t="s">
        <v>1286</v>
      </c>
    </row>
    <row r="16" spans="1:25" ht="15.6">
      <c r="A16" t="str">
        <f>'DATA US'!D18</f>
        <v>ARIEF OKTA PRATAMA</v>
      </c>
      <c r="B16">
        <f>'DATA US'!B18</f>
        <v>222310004</v>
      </c>
      <c r="C16" s="83" t="s">
        <v>890</v>
      </c>
      <c r="D16" s="84" t="s">
        <v>61</v>
      </c>
      <c r="E16" t="s">
        <v>889</v>
      </c>
      <c r="F16" t="s">
        <v>36</v>
      </c>
      <c r="G16" s="77">
        <v>81.98</v>
      </c>
      <c r="H16" s="77">
        <v>84.6</v>
      </c>
      <c r="I16" s="77">
        <v>83.56</v>
      </c>
      <c r="J16" s="77">
        <v>82.8</v>
      </c>
      <c r="K16" s="77">
        <v>80</v>
      </c>
      <c r="L16" s="77">
        <v>81.42</v>
      </c>
      <c r="M16" s="77">
        <v>82</v>
      </c>
      <c r="N16" s="77">
        <v>84.8</v>
      </c>
      <c r="O16" s="77">
        <v>81</v>
      </c>
      <c r="P16" s="77">
        <v>79.5</v>
      </c>
      <c r="Q16" s="77">
        <v>83</v>
      </c>
      <c r="R16" s="77">
        <v>83.5</v>
      </c>
      <c r="S16" s="77">
        <v>77.3333333333333</v>
      </c>
      <c r="T16" s="77">
        <v>81.3333333333333</v>
      </c>
      <c r="U16" s="77">
        <v>81.414666666666605</v>
      </c>
      <c r="V16" s="77">
        <v>82.8</v>
      </c>
      <c r="W16" t="str">
        <f>'DATA US'!I18</f>
        <v>ARLEX FEBRI SURIANTO</v>
      </c>
      <c r="X16" t="str">
        <f>'DATA US'!C18</f>
        <v>0134157802</v>
      </c>
      <c r="Y16" s="308" t="s">
        <v>1287</v>
      </c>
    </row>
    <row r="17" spans="1:25" ht="15.6">
      <c r="A17" t="str">
        <f>'DATA US'!D79</f>
        <v>BAGAS PRATAMA PUTRA</v>
      </c>
      <c r="B17">
        <f>'DATA US'!B79</f>
        <v>222310063</v>
      </c>
      <c r="C17" s="83" t="s">
        <v>519</v>
      </c>
      <c r="D17" s="84" t="s">
        <v>417</v>
      </c>
      <c r="E17" t="s">
        <v>889</v>
      </c>
      <c r="F17" t="s">
        <v>36</v>
      </c>
      <c r="G17" s="77">
        <v>87.11</v>
      </c>
      <c r="H17" s="77">
        <v>84.3</v>
      </c>
      <c r="I17" s="77">
        <v>90.72</v>
      </c>
      <c r="J17" s="77">
        <v>88.08</v>
      </c>
      <c r="K17" s="77">
        <v>86</v>
      </c>
      <c r="L17" s="77">
        <v>90.72</v>
      </c>
      <c r="M17" s="77">
        <v>82</v>
      </c>
      <c r="N17" s="77">
        <v>85.5</v>
      </c>
      <c r="O17" s="77">
        <v>84.5</v>
      </c>
      <c r="P17" s="77">
        <v>80.5</v>
      </c>
      <c r="Q17" s="77">
        <v>85.5</v>
      </c>
      <c r="R17" s="77">
        <v>84.5</v>
      </c>
      <c r="S17" s="77">
        <v>82.5</v>
      </c>
      <c r="T17" s="77">
        <v>86.316666666666706</v>
      </c>
      <c r="U17" s="77">
        <v>85.339833333333303</v>
      </c>
      <c r="V17" s="77">
        <v>85.339833333333303</v>
      </c>
      <c r="W17" t="str">
        <f>'DATA US'!I79</f>
        <v>MISNA</v>
      </c>
      <c r="X17" t="str">
        <f>'DATA US'!C79</f>
        <v>0062946213</v>
      </c>
      <c r="Y17" s="308" t="s">
        <v>1288</v>
      </c>
    </row>
    <row r="18" spans="1:25" ht="15.6">
      <c r="A18" t="str">
        <f>'DATA US'!D51</f>
        <v>CAESAR DANDI TRI PERKASA</v>
      </c>
      <c r="B18">
        <f>'DATA US'!B51</f>
        <v>222310034</v>
      </c>
      <c r="C18" s="83" t="s">
        <v>519</v>
      </c>
      <c r="D18" s="86">
        <v>39176</v>
      </c>
      <c r="E18" t="s">
        <v>889</v>
      </c>
      <c r="F18" t="s">
        <v>36</v>
      </c>
      <c r="G18" s="77">
        <v>84.1</v>
      </c>
      <c r="H18" s="77">
        <v>83.52</v>
      </c>
      <c r="I18" s="77">
        <v>88.8</v>
      </c>
      <c r="J18" s="77">
        <v>89.2</v>
      </c>
      <c r="K18" s="77">
        <v>85</v>
      </c>
      <c r="L18" s="77">
        <v>88.26</v>
      </c>
      <c r="M18" s="77">
        <v>82</v>
      </c>
      <c r="N18" s="77">
        <v>82.8</v>
      </c>
      <c r="O18" s="77">
        <v>81.5</v>
      </c>
      <c r="P18" s="77">
        <v>81</v>
      </c>
      <c r="Q18" s="77">
        <v>83</v>
      </c>
      <c r="R18" s="77">
        <v>84</v>
      </c>
      <c r="S18" s="77">
        <v>81.6666666666667</v>
      </c>
      <c r="T18" s="77">
        <v>85.383333333333297</v>
      </c>
      <c r="U18" s="77">
        <v>84.200666666666706</v>
      </c>
      <c r="V18" s="77">
        <v>84.3</v>
      </c>
      <c r="W18" t="str">
        <f>'DATA US'!I51</f>
        <v>LAMANSYAH ERWIN</v>
      </c>
      <c r="X18" t="str">
        <f>'DATA US'!C51</f>
        <v>0077550363</v>
      </c>
      <c r="Y18" s="308" t="s">
        <v>1289</v>
      </c>
    </row>
    <row r="19" spans="1:25" ht="15.6">
      <c r="A19" t="str">
        <f>'DATA US'!D19</f>
        <v>DEDEN RIZKY SAPUTRA</v>
      </c>
      <c r="B19">
        <f>'DATA US'!B19</f>
        <v>222310005</v>
      </c>
      <c r="C19" s="83" t="s">
        <v>519</v>
      </c>
      <c r="D19" s="84" t="s">
        <v>67</v>
      </c>
      <c r="E19" t="s">
        <v>889</v>
      </c>
      <c r="F19" t="s">
        <v>36</v>
      </c>
      <c r="G19" s="77">
        <v>88.16</v>
      </c>
      <c r="H19" s="77">
        <v>88.02</v>
      </c>
      <c r="I19" s="77">
        <v>90.65</v>
      </c>
      <c r="J19" s="77">
        <v>91.64</v>
      </c>
      <c r="K19" s="77">
        <v>87.5</v>
      </c>
      <c r="L19" s="77">
        <v>90.3</v>
      </c>
      <c r="M19" s="77">
        <v>83</v>
      </c>
      <c r="N19" s="77">
        <v>85.2</v>
      </c>
      <c r="O19" s="77">
        <v>86</v>
      </c>
      <c r="P19" s="77">
        <v>84</v>
      </c>
      <c r="Q19" s="77">
        <v>86.5</v>
      </c>
      <c r="R19" s="77">
        <v>87</v>
      </c>
      <c r="S19" s="77">
        <v>85.3333333333333</v>
      </c>
      <c r="T19" s="77">
        <v>86.875</v>
      </c>
      <c r="U19" s="77">
        <v>86.861833333333294</v>
      </c>
      <c r="V19" s="77">
        <v>85.766666666666694</v>
      </c>
      <c r="W19" t="str">
        <f>'DATA US'!I19</f>
        <v>SANDIH</v>
      </c>
      <c r="X19" t="str">
        <f>'DATA US'!C19</f>
        <v>0072858452</v>
      </c>
      <c r="Y19" s="308" t="s">
        <v>1290</v>
      </c>
    </row>
    <row r="20" spans="1:25" ht="15.6">
      <c r="A20" t="str">
        <f>'DATA US'!D80</f>
        <v>DEKA RAMADHANI</v>
      </c>
      <c r="B20">
        <f>'DATA US'!B80</f>
        <v>222310064</v>
      </c>
      <c r="C20" s="83" t="s">
        <v>519</v>
      </c>
      <c r="D20" s="85" t="s">
        <v>423</v>
      </c>
      <c r="E20" t="s">
        <v>889</v>
      </c>
      <c r="F20" t="s">
        <v>36</v>
      </c>
      <c r="G20" s="77">
        <v>86.15</v>
      </c>
      <c r="H20" s="77">
        <v>85.4</v>
      </c>
      <c r="I20" s="77">
        <v>91.9</v>
      </c>
      <c r="J20" s="77">
        <v>90.68</v>
      </c>
      <c r="K20" s="77">
        <v>87</v>
      </c>
      <c r="L20" s="77">
        <v>92.84</v>
      </c>
      <c r="M20" s="77">
        <v>87</v>
      </c>
      <c r="N20" s="77">
        <v>84.5</v>
      </c>
      <c r="O20" s="77">
        <v>85.5</v>
      </c>
      <c r="P20" s="77">
        <v>82.5</v>
      </c>
      <c r="Q20" s="77">
        <v>86</v>
      </c>
      <c r="R20" s="77">
        <v>86</v>
      </c>
      <c r="S20" s="77">
        <v>84.5</v>
      </c>
      <c r="T20" s="77">
        <v>88.233333333333306</v>
      </c>
      <c r="U20" s="77">
        <v>86.821833333333302</v>
      </c>
      <c r="V20" s="77">
        <v>86.821833333333302</v>
      </c>
      <c r="W20" t="str">
        <f>'DATA US'!I80</f>
        <v>DEDE SUPENA</v>
      </c>
      <c r="X20" t="str">
        <f>'DATA US'!C80</f>
        <v>0082368428</v>
      </c>
      <c r="Y20" s="308" t="s">
        <v>1291</v>
      </c>
    </row>
    <row r="21" spans="1:25" ht="15.6">
      <c r="A21" t="str">
        <f>'DATA US'!D20</f>
        <v>DENI RAHMAT SAPUTRA</v>
      </c>
      <c r="B21">
        <f>'DATA US'!B20</f>
        <v>222310006</v>
      </c>
      <c r="C21" s="83" t="s">
        <v>519</v>
      </c>
      <c r="D21" s="84" t="s">
        <v>67</v>
      </c>
      <c r="E21" t="s">
        <v>889</v>
      </c>
      <c r="F21" t="s">
        <v>36</v>
      </c>
      <c r="G21" s="77">
        <v>87.58</v>
      </c>
      <c r="H21" s="77">
        <v>87.94</v>
      </c>
      <c r="I21" s="77">
        <v>90.34</v>
      </c>
      <c r="J21" s="77">
        <v>92.56</v>
      </c>
      <c r="K21" s="77">
        <v>88</v>
      </c>
      <c r="L21" s="77">
        <v>90.36</v>
      </c>
      <c r="M21" s="77">
        <v>83.5</v>
      </c>
      <c r="N21" s="77">
        <v>81.900000000000006</v>
      </c>
      <c r="O21" s="77">
        <v>87</v>
      </c>
      <c r="P21" s="77">
        <v>83</v>
      </c>
      <c r="Q21" s="77">
        <v>86</v>
      </c>
      <c r="R21" s="77">
        <v>86</v>
      </c>
      <c r="S21" s="77">
        <v>83.8333333333333</v>
      </c>
      <c r="T21" s="77">
        <v>86.858333333333306</v>
      </c>
      <c r="U21" s="77">
        <v>86.437333333333299</v>
      </c>
      <c r="V21" s="77">
        <v>85.633333333333297</v>
      </c>
      <c r="W21" t="str">
        <f>'DATA US'!I20</f>
        <v>SANDIH</v>
      </c>
      <c r="X21" t="str">
        <f>'DATA US'!C20</f>
        <v>0073210618</v>
      </c>
      <c r="Y21" s="308" t="s">
        <v>1292</v>
      </c>
    </row>
    <row r="22" spans="1:25" ht="15.6">
      <c r="A22" t="str">
        <f>'DATA US'!D52</f>
        <v>DIMAS RIMUNANDAR</v>
      </c>
      <c r="B22">
        <f>'DATA US'!B52</f>
        <v>222310035</v>
      </c>
      <c r="C22" s="83" t="s">
        <v>519</v>
      </c>
      <c r="D22" s="85" t="s">
        <v>259</v>
      </c>
      <c r="E22" t="s">
        <v>889</v>
      </c>
      <c r="F22" t="s">
        <v>36</v>
      </c>
      <c r="G22" s="77">
        <v>85.06</v>
      </c>
      <c r="H22" s="77">
        <v>84.58</v>
      </c>
      <c r="I22" s="77">
        <v>89.68</v>
      </c>
      <c r="J22" s="77">
        <v>82.32</v>
      </c>
      <c r="K22" s="77">
        <v>85</v>
      </c>
      <c r="L22" s="77">
        <v>85.52</v>
      </c>
      <c r="M22" s="77">
        <v>82</v>
      </c>
      <c r="N22" s="77">
        <v>86.5</v>
      </c>
      <c r="O22" s="77">
        <v>82.5</v>
      </c>
      <c r="P22" s="77">
        <v>79</v>
      </c>
      <c r="Q22" s="77">
        <v>82</v>
      </c>
      <c r="R22" s="77">
        <v>82</v>
      </c>
      <c r="S22" s="77">
        <v>82.1666666666667</v>
      </c>
      <c r="T22" s="77">
        <v>86.474999999999994</v>
      </c>
      <c r="U22" s="77">
        <v>84.078000000000003</v>
      </c>
      <c r="V22" s="77">
        <v>83</v>
      </c>
      <c r="W22" t="str">
        <f>'DATA US'!I52</f>
        <v>KAJI NURFAIDZI</v>
      </c>
      <c r="X22" t="str">
        <f>'DATA US'!C52</f>
        <v>0074682824</v>
      </c>
      <c r="Y22" s="308" t="s">
        <v>1293</v>
      </c>
    </row>
    <row r="23" spans="1:25" ht="15.6">
      <c r="A23" t="str">
        <f>'DATA US'!D53</f>
        <v>DINAR RADITIYA PRATAMA</v>
      </c>
      <c r="B23">
        <f>'DATA US'!B53</f>
        <v>222310036</v>
      </c>
      <c r="C23" s="83" t="s">
        <v>519</v>
      </c>
      <c r="D23" s="85" t="s">
        <v>265</v>
      </c>
      <c r="E23" t="s">
        <v>889</v>
      </c>
      <c r="F23" t="s">
        <v>36</v>
      </c>
      <c r="G23" s="77">
        <v>85.54</v>
      </c>
      <c r="H23" s="77">
        <v>83.88</v>
      </c>
      <c r="I23" s="77">
        <v>88.68</v>
      </c>
      <c r="J23" s="77">
        <v>87.38</v>
      </c>
      <c r="K23" s="77">
        <v>81</v>
      </c>
      <c r="L23" s="77">
        <v>85.52</v>
      </c>
      <c r="M23" s="77">
        <v>81.5</v>
      </c>
      <c r="N23" s="77">
        <v>86.9</v>
      </c>
      <c r="O23" s="77">
        <v>83</v>
      </c>
      <c r="P23" s="77">
        <v>79.5</v>
      </c>
      <c r="Q23" s="77">
        <v>82</v>
      </c>
      <c r="R23" s="77">
        <v>81.5</v>
      </c>
      <c r="S23" s="77">
        <v>78.8333333333333</v>
      </c>
      <c r="T23" s="77">
        <v>83.6</v>
      </c>
      <c r="U23" s="77">
        <v>83.015000000000001</v>
      </c>
      <c r="V23" s="77">
        <v>83</v>
      </c>
      <c r="W23" t="str">
        <f>'DATA US'!I53</f>
        <v>EKA RADIANSYAH</v>
      </c>
      <c r="X23" t="str">
        <f>'DATA US'!C53</f>
        <v>0075646043</v>
      </c>
      <c r="Y23" s="308" t="s">
        <v>1294</v>
      </c>
    </row>
    <row r="24" spans="1:25" ht="15.6">
      <c r="A24" t="str">
        <f>'DATA US'!D21</f>
        <v>DITO AJI TRI CAHYO</v>
      </c>
      <c r="B24">
        <f>'DATA US'!B21</f>
        <v>222310007</v>
      </c>
      <c r="C24" s="83" t="s">
        <v>519</v>
      </c>
      <c r="D24" s="84" t="s">
        <v>76</v>
      </c>
      <c r="E24" t="s">
        <v>889</v>
      </c>
      <c r="F24" t="s">
        <v>36</v>
      </c>
      <c r="G24" s="77">
        <v>82.82</v>
      </c>
      <c r="H24" s="77">
        <v>87.18</v>
      </c>
      <c r="I24" s="77">
        <v>89.31</v>
      </c>
      <c r="J24" s="77">
        <v>89.64</v>
      </c>
      <c r="K24" s="77">
        <v>85.5</v>
      </c>
      <c r="L24" s="77">
        <v>84.64</v>
      </c>
      <c r="M24" s="77">
        <v>84</v>
      </c>
      <c r="N24" s="77">
        <v>85.9</v>
      </c>
      <c r="O24" s="77">
        <v>85.5</v>
      </c>
      <c r="P24" s="77">
        <v>82</v>
      </c>
      <c r="Q24" s="77">
        <v>86</v>
      </c>
      <c r="R24" s="77">
        <v>85</v>
      </c>
      <c r="S24" s="77">
        <v>83.5</v>
      </c>
      <c r="T24" s="77">
        <v>84.183333333333294</v>
      </c>
      <c r="U24" s="77">
        <v>84.984499999999997</v>
      </c>
      <c r="V24" s="77">
        <v>84.966666666666697</v>
      </c>
      <c r="W24" t="str">
        <f>'DATA US'!I21</f>
        <v>BUANG SANTOSO (ALM)</v>
      </c>
      <c r="X24" t="str">
        <f>'DATA US'!C21</f>
        <v>0072762394</v>
      </c>
      <c r="Y24" s="308" t="s">
        <v>1295</v>
      </c>
    </row>
    <row r="25" spans="1:25" ht="15.6">
      <c r="A25" t="str">
        <f>'DATA US'!D81</f>
        <v>DWIYAN PEBRIYANSYAH</v>
      </c>
      <c r="B25">
        <f>'DATA US'!B81</f>
        <v>222310065</v>
      </c>
      <c r="C25" s="83" t="s">
        <v>519</v>
      </c>
      <c r="D25" s="85" t="s">
        <v>429</v>
      </c>
      <c r="E25" t="s">
        <v>889</v>
      </c>
      <c r="F25" t="s">
        <v>36</v>
      </c>
      <c r="G25" s="77">
        <v>84.75</v>
      </c>
      <c r="H25" s="77">
        <v>83.58</v>
      </c>
      <c r="I25" s="77">
        <v>86.66</v>
      </c>
      <c r="J25" s="77">
        <v>89.12</v>
      </c>
      <c r="K25" s="77">
        <v>86</v>
      </c>
      <c r="L25" s="77">
        <v>90.14</v>
      </c>
      <c r="M25" s="77">
        <v>82</v>
      </c>
      <c r="N25" s="77">
        <v>85</v>
      </c>
      <c r="O25" s="77">
        <v>83</v>
      </c>
      <c r="P25" s="77">
        <v>79.5</v>
      </c>
      <c r="Q25" s="77">
        <v>85</v>
      </c>
      <c r="R25" s="77">
        <v>85.5</v>
      </c>
      <c r="S25" s="77">
        <v>81</v>
      </c>
      <c r="T25" s="77">
        <v>85.033333333333303</v>
      </c>
      <c r="U25" s="77">
        <v>84.384166666666701</v>
      </c>
      <c r="V25" s="77">
        <v>84.384166666666701</v>
      </c>
      <c r="W25" t="str">
        <f>'DATA US'!I81</f>
        <v>WANTA</v>
      </c>
      <c r="X25" t="str">
        <f>'DATA US'!C81</f>
        <v>0073890825</v>
      </c>
      <c r="Y25" s="308" t="s">
        <v>1296</v>
      </c>
    </row>
    <row r="26" spans="1:25" ht="15.6">
      <c r="A26" t="str">
        <f>'DATA US'!D22</f>
        <v>EGA MAULANA RAYHAN</v>
      </c>
      <c r="B26">
        <f>'DATA US'!B22</f>
        <v>222310008</v>
      </c>
      <c r="C26" s="83" t="s">
        <v>519</v>
      </c>
      <c r="D26" s="84" t="s">
        <v>82</v>
      </c>
      <c r="E26" t="s">
        <v>889</v>
      </c>
      <c r="F26" t="s">
        <v>36</v>
      </c>
      <c r="G26" s="77">
        <v>83.04</v>
      </c>
      <c r="H26" s="77">
        <v>84.78</v>
      </c>
      <c r="I26" s="77">
        <v>88.06</v>
      </c>
      <c r="J26" s="77">
        <v>86.86</v>
      </c>
      <c r="K26" s="77">
        <v>81.5</v>
      </c>
      <c r="L26" s="77">
        <v>83.84</v>
      </c>
      <c r="M26" s="77">
        <v>80.5</v>
      </c>
      <c r="N26" s="77">
        <v>84.9</v>
      </c>
      <c r="O26" s="77">
        <v>82.5</v>
      </c>
      <c r="P26" s="77">
        <v>80</v>
      </c>
      <c r="Q26" s="77">
        <v>84</v>
      </c>
      <c r="R26" s="77">
        <v>82.5</v>
      </c>
      <c r="S26" s="77">
        <v>80.1666666666667</v>
      </c>
      <c r="T26" s="77">
        <v>86.216666666666697</v>
      </c>
      <c r="U26" s="77">
        <v>83.617333333333306</v>
      </c>
      <c r="V26" s="77">
        <v>84.5</v>
      </c>
      <c r="W26" t="str">
        <f>'DATA US'!I22</f>
        <v>NAMIN SUWANDA</v>
      </c>
      <c r="X26" t="str">
        <f>'DATA US'!C22</f>
        <v>0078607611</v>
      </c>
      <c r="Y26" s="308" t="s">
        <v>1297</v>
      </c>
    </row>
    <row r="27" spans="1:25" ht="15.6">
      <c r="A27" t="str">
        <f>'DATA US'!D54</f>
        <v>FAHMI SABILA SIDKI</v>
      </c>
      <c r="B27">
        <f>'DATA US'!B54</f>
        <v>222310037</v>
      </c>
      <c r="C27" s="83" t="s">
        <v>519</v>
      </c>
      <c r="D27" s="84" t="s">
        <v>271</v>
      </c>
      <c r="E27" t="s">
        <v>889</v>
      </c>
      <c r="F27" t="s">
        <v>36</v>
      </c>
      <c r="G27" s="77">
        <v>86.46</v>
      </c>
      <c r="H27" s="77">
        <v>83.68</v>
      </c>
      <c r="I27" s="77">
        <v>87.46</v>
      </c>
      <c r="J27" s="77">
        <v>90.56</v>
      </c>
      <c r="K27" s="77">
        <v>80.5</v>
      </c>
      <c r="L27" s="77">
        <v>82.32</v>
      </c>
      <c r="M27" s="77">
        <v>79</v>
      </c>
      <c r="N27" s="77">
        <v>86.4</v>
      </c>
      <c r="O27" s="77">
        <v>80</v>
      </c>
      <c r="P27" s="77">
        <v>77</v>
      </c>
      <c r="Q27" s="77">
        <v>81</v>
      </c>
      <c r="R27" s="77">
        <v>81.5</v>
      </c>
      <c r="S27" s="77">
        <v>77.1666666666667</v>
      </c>
      <c r="T27" s="77">
        <v>83.466666666666697</v>
      </c>
      <c r="U27" s="77">
        <v>82.185666666666705</v>
      </c>
      <c r="V27" s="77">
        <v>82.466666666666697</v>
      </c>
      <c r="W27" t="str">
        <f>'DATA US'!I54</f>
        <v>TUIN</v>
      </c>
      <c r="X27" t="str">
        <f>'DATA US'!C54</f>
        <v>0076987847</v>
      </c>
      <c r="Y27" s="308" t="s">
        <v>1298</v>
      </c>
    </row>
    <row r="28" spans="1:25" ht="15.6">
      <c r="A28" t="str">
        <f>'DATA US'!D82</f>
        <v>FALAH AZMI IBRAHIM</v>
      </c>
      <c r="B28">
        <f>'DATA US'!B82</f>
        <v>222310066</v>
      </c>
      <c r="C28" s="83" t="s">
        <v>519</v>
      </c>
      <c r="D28" s="85" t="s">
        <v>435</v>
      </c>
      <c r="E28" t="s">
        <v>889</v>
      </c>
      <c r="F28" t="s">
        <v>36</v>
      </c>
      <c r="G28" s="77">
        <v>87.04</v>
      </c>
      <c r="H28" s="77">
        <v>85.22</v>
      </c>
      <c r="I28" s="77">
        <v>88.88</v>
      </c>
      <c r="J28" s="77">
        <v>87.64</v>
      </c>
      <c r="K28" s="77">
        <v>83</v>
      </c>
      <c r="L28" s="77">
        <v>86.1</v>
      </c>
      <c r="M28" s="77">
        <v>83</v>
      </c>
      <c r="N28" s="77">
        <v>86.3</v>
      </c>
      <c r="O28" s="77">
        <v>81.5</v>
      </c>
      <c r="P28" s="77">
        <v>78.5</v>
      </c>
      <c r="Q28" s="77">
        <v>83.5</v>
      </c>
      <c r="R28" s="77">
        <v>84</v>
      </c>
      <c r="S28" s="77">
        <v>79.6666666666667</v>
      </c>
      <c r="T28" s="77">
        <v>86.35</v>
      </c>
      <c r="U28" s="77">
        <v>84.167333333333303</v>
      </c>
      <c r="V28" s="77">
        <v>84.167333333333303</v>
      </c>
      <c r="W28" t="str">
        <f>'DATA US'!I82</f>
        <v>HIDAYAT</v>
      </c>
      <c r="X28" t="str">
        <f>'DATA US'!C82</f>
        <v>0053822774</v>
      </c>
      <c r="Y28" s="308" t="s">
        <v>1299</v>
      </c>
    </row>
    <row r="29" spans="1:25" ht="15.6">
      <c r="A29" t="str">
        <f>'DATA US'!D83</f>
        <v>FARHAN FIRMANSYAH</v>
      </c>
      <c r="B29">
        <f>'DATA US'!B83</f>
        <v>222310067</v>
      </c>
      <c r="C29" s="83" t="s">
        <v>519</v>
      </c>
      <c r="D29" s="85" t="s">
        <v>411</v>
      </c>
      <c r="E29" t="s">
        <v>889</v>
      </c>
      <c r="F29" t="s">
        <v>36</v>
      </c>
      <c r="G29" s="77">
        <v>83.69</v>
      </c>
      <c r="H29" s="77">
        <v>84.52</v>
      </c>
      <c r="I29" s="77">
        <v>88.28</v>
      </c>
      <c r="J29" s="77">
        <v>86.52</v>
      </c>
      <c r="K29" s="77">
        <v>85</v>
      </c>
      <c r="L29" s="77">
        <v>86.06</v>
      </c>
      <c r="M29" s="77">
        <v>84</v>
      </c>
      <c r="N29" s="77">
        <v>85.6</v>
      </c>
      <c r="O29" s="77">
        <v>84</v>
      </c>
      <c r="P29" s="77">
        <v>79</v>
      </c>
      <c r="Q29" s="77">
        <v>84</v>
      </c>
      <c r="R29" s="77">
        <v>86</v>
      </c>
      <c r="S29" s="77">
        <v>81.1666666666667</v>
      </c>
      <c r="T29" s="77">
        <v>85.724999999999994</v>
      </c>
      <c r="U29" s="77">
        <v>84.380166666666696</v>
      </c>
      <c r="V29" s="77">
        <v>84.380166666666696</v>
      </c>
      <c r="W29" t="str">
        <f>'DATA US'!I83</f>
        <v>SIMAN</v>
      </c>
      <c r="X29" t="str">
        <f>'DATA US'!C83</f>
        <v>007467363</v>
      </c>
      <c r="Y29" s="308" t="s">
        <v>1300</v>
      </c>
    </row>
    <row r="30" spans="1:25" ht="15.6">
      <c r="A30" t="str">
        <f>'DATA US'!D23</f>
        <v>FAUZA WIJAYA</v>
      </c>
      <c r="B30">
        <f>'DATA US'!B23</f>
        <v>222310009</v>
      </c>
      <c r="C30" s="83" t="s">
        <v>519</v>
      </c>
      <c r="D30" s="84" t="s">
        <v>88</v>
      </c>
      <c r="E30" t="s">
        <v>889</v>
      </c>
      <c r="F30" t="s">
        <v>36</v>
      </c>
      <c r="G30" s="77">
        <v>84.36</v>
      </c>
      <c r="H30" s="77">
        <v>85.32</v>
      </c>
      <c r="I30" s="77">
        <v>88.98</v>
      </c>
      <c r="J30" s="77">
        <v>87.18</v>
      </c>
      <c r="K30" s="77">
        <v>85</v>
      </c>
      <c r="L30" s="77">
        <v>83.02</v>
      </c>
      <c r="M30" s="77">
        <v>80.5</v>
      </c>
      <c r="N30" s="77">
        <v>85.8</v>
      </c>
      <c r="O30" s="77">
        <v>82</v>
      </c>
      <c r="P30" s="77">
        <v>80.5</v>
      </c>
      <c r="Q30" s="77">
        <v>85.5</v>
      </c>
      <c r="R30" s="77">
        <v>85</v>
      </c>
      <c r="S30" s="77">
        <v>80.1666666666667</v>
      </c>
      <c r="T30" s="77">
        <v>85.058333333333294</v>
      </c>
      <c r="U30" s="77">
        <v>83.977999999999994</v>
      </c>
      <c r="V30" s="77">
        <v>85.6666666666667</v>
      </c>
      <c r="W30" t="str">
        <f>'DATA US'!I23</f>
        <v>MURKIM</v>
      </c>
      <c r="X30" t="str">
        <f>'DATA US'!C23</f>
        <v>0071107397</v>
      </c>
      <c r="Y30" s="308" t="s">
        <v>1301</v>
      </c>
    </row>
    <row r="31" spans="1:25" ht="15.6">
      <c r="A31" t="str">
        <f>'DATA US'!D24</f>
        <v>FAZRI RAMDANI AL BASIT</v>
      </c>
      <c r="B31">
        <f>'DATA US'!B24</f>
        <v>222310010</v>
      </c>
      <c r="C31" s="83" t="s">
        <v>519</v>
      </c>
      <c r="D31" s="84" t="s">
        <v>94</v>
      </c>
      <c r="E31" t="s">
        <v>889</v>
      </c>
      <c r="F31" t="s">
        <v>36</v>
      </c>
      <c r="G31" s="77">
        <v>83.82</v>
      </c>
      <c r="H31" s="77">
        <v>84.18</v>
      </c>
      <c r="I31" s="77">
        <v>87.91</v>
      </c>
      <c r="J31" s="77">
        <v>85.9</v>
      </c>
      <c r="K31" s="77">
        <v>82.5</v>
      </c>
      <c r="L31" s="77">
        <v>84.46</v>
      </c>
      <c r="M31" s="77">
        <v>82</v>
      </c>
      <c r="N31" s="77">
        <v>85.6</v>
      </c>
      <c r="O31" s="77">
        <v>82</v>
      </c>
      <c r="P31" s="77">
        <v>81</v>
      </c>
      <c r="Q31" s="77">
        <v>85</v>
      </c>
      <c r="R31" s="77">
        <v>83.5</v>
      </c>
      <c r="S31" s="77">
        <v>79.5</v>
      </c>
      <c r="T31" s="77">
        <v>87.633333333333297</v>
      </c>
      <c r="U31" s="77">
        <v>84.083500000000001</v>
      </c>
      <c r="V31" s="77">
        <v>84.766666666666694</v>
      </c>
      <c r="W31" t="str">
        <f>'DATA US'!I24</f>
        <v>MUHAMAD SYARIF</v>
      </c>
      <c r="X31" t="str">
        <f>'DATA US'!C24</f>
        <v>0072628439</v>
      </c>
      <c r="Y31" s="308" t="s">
        <v>1302</v>
      </c>
    </row>
    <row r="32" spans="1:25" ht="15.6">
      <c r="A32" t="str">
        <f>'DATA US'!D55</f>
        <v>FENDI LATIF HENANTA</v>
      </c>
      <c r="B32">
        <f>'DATA US'!B55</f>
        <v>222310038</v>
      </c>
      <c r="C32" s="83" t="s">
        <v>896</v>
      </c>
      <c r="D32" s="85" t="s">
        <v>278</v>
      </c>
      <c r="E32" t="s">
        <v>889</v>
      </c>
      <c r="F32" t="s">
        <v>36</v>
      </c>
      <c r="G32" s="77">
        <v>83.86</v>
      </c>
      <c r="H32" s="77">
        <v>85.34</v>
      </c>
      <c r="I32" s="77">
        <v>89.52</v>
      </c>
      <c r="J32" s="77">
        <v>81.78</v>
      </c>
      <c r="K32" s="77">
        <v>84.5</v>
      </c>
      <c r="L32" s="77">
        <v>85.68</v>
      </c>
      <c r="M32" s="77">
        <v>81.5</v>
      </c>
      <c r="N32" s="77">
        <v>83.2</v>
      </c>
      <c r="O32" s="77">
        <v>84</v>
      </c>
      <c r="P32" s="77">
        <v>80</v>
      </c>
      <c r="Q32" s="77">
        <v>84</v>
      </c>
      <c r="R32" s="77">
        <v>84.5</v>
      </c>
      <c r="S32" s="77">
        <v>80.5</v>
      </c>
      <c r="T32" s="77">
        <v>86.4</v>
      </c>
      <c r="U32" s="77">
        <v>83.962333333333305</v>
      </c>
      <c r="V32" s="77">
        <v>84.266666666666694</v>
      </c>
      <c r="W32" t="str">
        <f>'DATA US'!I55</f>
        <v>AJI YULIANTO</v>
      </c>
      <c r="X32" t="str">
        <f>'DATA US'!C55</f>
        <v>0076325232</v>
      </c>
      <c r="Y32" s="308" t="s">
        <v>1303</v>
      </c>
    </row>
    <row r="33" spans="1:25" ht="15.6">
      <c r="A33" t="str">
        <f>'DATA US'!D56</f>
        <v>FERDI LATIF HENANTA</v>
      </c>
      <c r="B33">
        <f>'DATA US'!B56</f>
        <v>222310039</v>
      </c>
      <c r="C33" s="83" t="s">
        <v>896</v>
      </c>
      <c r="D33" s="85" t="s">
        <v>278</v>
      </c>
      <c r="E33" t="s">
        <v>889</v>
      </c>
      <c r="F33" t="s">
        <v>36</v>
      </c>
      <c r="G33" s="77">
        <v>84.18</v>
      </c>
      <c r="H33" s="77">
        <v>86.4</v>
      </c>
      <c r="I33" s="77">
        <v>89.58</v>
      </c>
      <c r="J33" s="77">
        <v>81.319999999999993</v>
      </c>
      <c r="K33" s="77">
        <v>84.5</v>
      </c>
      <c r="L33" s="77">
        <v>91.16</v>
      </c>
      <c r="M33" s="77">
        <v>82.5</v>
      </c>
      <c r="N33" s="77">
        <v>83.6</v>
      </c>
      <c r="O33" s="77">
        <v>83.5</v>
      </c>
      <c r="P33" s="77">
        <v>81</v>
      </c>
      <c r="Q33" s="77">
        <v>83.5</v>
      </c>
      <c r="R33" s="77">
        <v>84.5</v>
      </c>
      <c r="S33" s="77">
        <v>81.3333333333333</v>
      </c>
      <c r="T33" s="77">
        <v>87.983333333333306</v>
      </c>
      <c r="U33" s="77">
        <v>84.846999999999994</v>
      </c>
      <c r="V33" s="77">
        <v>85.266666666666694</v>
      </c>
      <c r="W33" t="str">
        <f>'DATA US'!I56</f>
        <v>AJI YULIANTO</v>
      </c>
      <c r="X33" t="str">
        <f>'DATA US'!C56</f>
        <v>0072890752</v>
      </c>
      <c r="Y33" s="308" t="s">
        <v>1304</v>
      </c>
    </row>
    <row r="34" spans="1:25" ht="15.6">
      <c r="A34" t="str">
        <f>'DATA US'!D46</f>
        <v>HAZAQ OSEAN RAFIF</v>
      </c>
      <c r="B34">
        <f>'DATA US'!B46</f>
        <v>242512086</v>
      </c>
      <c r="C34" s="83" t="s">
        <v>895</v>
      </c>
      <c r="D34" s="85" t="s">
        <v>225</v>
      </c>
      <c r="E34" t="s">
        <v>889</v>
      </c>
      <c r="F34" t="s">
        <v>36</v>
      </c>
      <c r="G34" s="77">
        <v>85.76</v>
      </c>
      <c r="H34" s="77">
        <v>88.16</v>
      </c>
      <c r="I34" s="77">
        <v>88.44</v>
      </c>
      <c r="J34" s="77">
        <v>89.18</v>
      </c>
      <c r="K34" s="77">
        <v>81.5</v>
      </c>
      <c r="L34" s="77">
        <v>91.92</v>
      </c>
      <c r="M34" s="77">
        <v>77.5</v>
      </c>
      <c r="N34" s="77">
        <v>85.7</v>
      </c>
      <c r="O34" s="77">
        <v>75</v>
      </c>
      <c r="P34" s="77">
        <v>83</v>
      </c>
      <c r="Q34" s="77">
        <v>79.5</v>
      </c>
      <c r="R34" s="77">
        <v>80</v>
      </c>
      <c r="S34" s="77">
        <v>84.6666666666667</v>
      </c>
      <c r="T34" s="77">
        <v>86.9</v>
      </c>
      <c r="U34" s="77">
        <v>84.676333333333304</v>
      </c>
      <c r="V34" s="77">
        <v>86.266666666666694</v>
      </c>
      <c r="W34" t="str">
        <f>'DATA US'!I46</f>
        <v>Hendrik</v>
      </c>
      <c r="X34" t="str">
        <f>'DATA US'!C46</f>
        <v>0075620652</v>
      </c>
      <c r="Y34" s="308" t="s">
        <v>1305</v>
      </c>
    </row>
    <row r="35" spans="1:25" ht="15.6">
      <c r="A35" t="str">
        <f>'DATA US'!D84</f>
        <v>IFNU MAULANA</v>
      </c>
      <c r="B35">
        <f>'DATA US'!B84</f>
        <v>222310068</v>
      </c>
      <c r="C35" s="83" t="s">
        <v>899</v>
      </c>
      <c r="D35" s="85" t="s">
        <v>447</v>
      </c>
      <c r="E35" t="s">
        <v>889</v>
      </c>
      <c r="F35" t="s">
        <v>36</v>
      </c>
      <c r="G35" s="77">
        <v>85.63</v>
      </c>
      <c r="H35" s="77">
        <v>87.28</v>
      </c>
      <c r="I35" s="77">
        <v>91.76</v>
      </c>
      <c r="J35" s="77">
        <v>91.34</v>
      </c>
      <c r="K35" s="77">
        <v>85</v>
      </c>
      <c r="L35" s="77">
        <v>92.12</v>
      </c>
      <c r="M35" s="77">
        <v>87</v>
      </c>
      <c r="N35" s="77">
        <v>85.5</v>
      </c>
      <c r="O35" s="77">
        <v>86</v>
      </c>
      <c r="P35" s="77">
        <v>82.5</v>
      </c>
      <c r="Q35" s="77">
        <v>84.5</v>
      </c>
      <c r="R35" s="77">
        <v>85.5</v>
      </c>
      <c r="S35" s="77">
        <v>81.6666666666667</v>
      </c>
      <c r="T35" s="77">
        <v>88.5</v>
      </c>
      <c r="U35" s="77">
        <v>86.436499999999995</v>
      </c>
      <c r="V35" s="77">
        <v>86.436499999999995</v>
      </c>
      <c r="W35" t="str">
        <f>'DATA US'!I84</f>
        <v>GIYAT</v>
      </c>
      <c r="X35" t="str">
        <f>'DATA US'!C84</f>
        <v>0076487037</v>
      </c>
      <c r="Y35" s="308" t="s">
        <v>1306</v>
      </c>
    </row>
    <row r="36" spans="1:25" ht="15.6">
      <c r="A36" t="str">
        <f>'DATA US'!D25</f>
        <v>INTO</v>
      </c>
      <c r="B36">
        <f>'DATA US'!B25</f>
        <v>222310011</v>
      </c>
      <c r="C36" s="83" t="s">
        <v>519</v>
      </c>
      <c r="D36" s="84" t="s">
        <v>100</v>
      </c>
      <c r="E36" t="s">
        <v>889</v>
      </c>
      <c r="F36" t="s">
        <v>36</v>
      </c>
      <c r="G36" s="77">
        <v>83.12</v>
      </c>
      <c r="H36" s="77">
        <v>81.96</v>
      </c>
      <c r="I36" s="77">
        <v>86.32</v>
      </c>
      <c r="J36" s="77">
        <v>81.78</v>
      </c>
      <c r="K36" s="77">
        <v>78</v>
      </c>
      <c r="L36" s="77">
        <v>81.36</v>
      </c>
      <c r="M36" s="77">
        <v>79.5</v>
      </c>
      <c r="N36" s="77">
        <v>81.5</v>
      </c>
      <c r="O36" s="77">
        <v>80.5</v>
      </c>
      <c r="P36" s="77">
        <v>79</v>
      </c>
      <c r="Q36" s="77">
        <v>83</v>
      </c>
      <c r="R36" s="77">
        <v>83</v>
      </c>
      <c r="S36" s="77">
        <v>76</v>
      </c>
      <c r="T36" s="77">
        <v>82.966666666666697</v>
      </c>
      <c r="U36" s="77">
        <v>81.240333333333297</v>
      </c>
      <c r="V36" s="77">
        <v>84.4</v>
      </c>
      <c r="W36" t="str">
        <f>'DATA US'!I25</f>
        <v>KARNO BIN EMUK</v>
      </c>
      <c r="X36" t="str">
        <f>'DATA US'!C25</f>
        <v>0064029233</v>
      </c>
      <c r="Y36" s="308" t="s">
        <v>1307</v>
      </c>
    </row>
    <row r="37" spans="1:25" ht="15.6">
      <c r="A37" t="str">
        <f>'DATA US'!D57</f>
        <v>IPANG SAPUTRA</v>
      </c>
      <c r="B37">
        <f>'DATA US'!B57</f>
        <v>222310040</v>
      </c>
      <c r="C37" s="83" t="s">
        <v>660</v>
      </c>
      <c r="D37" s="85" t="s">
        <v>287</v>
      </c>
      <c r="E37" t="s">
        <v>889</v>
      </c>
      <c r="F37" t="s">
        <v>36</v>
      </c>
      <c r="G37" s="77">
        <v>82.88</v>
      </c>
      <c r="H37" s="77">
        <v>86.24</v>
      </c>
      <c r="I37" s="77">
        <v>88.84</v>
      </c>
      <c r="J37" s="77">
        <v>80.8</v>
      </c>
      <c r="K37" s="77">
        <v>83</v>
      </c>
      <c r="L37" s="77">
        <v>84.44</v>
      </c>
      <c r="M37" s="77">
        <v>81.5</v>
      </c>
      <c r="N37" s="77">
        <v>84.5</v>
      </c>
      <c r="O37" s="77">
        <v>84.5</v>
      </c>
      <c r="P37" s="77">
        <v>78</v>
      </c>
      <c r="Q37" s="77">
        <v>83</v>
      </c>
      <c r="R37" s="77">
        <v>83</v>
      </c>
      <c r="S37" s="77">
        <v>81.1666666666667</v>
      </c>
      <c r="T37" s="77">
        <v>87.3333333333333</v>
      </c>
      <c r="U37" s="77">
        <v>83.856666666666698</v>
      </c>
      <c r="V37" s="77">
        <v>83.6</v>
      </c>
      <c r="W37" t="str">
        <f>'DATA US'!I57</f>
        <v>WAWAN WIJAYA</v>
      </c>
      <c r="X37" t="str">
        <f>'DATA US'!C57</f>
        <v>0065370722</v>
      </c>
      <c r="Y37" s="308" t="s">
        <v>1308</v>
      </c>
    </row>
    <row r="38" spans="1:25" ht="15.6">
      <c r="A38" t="str">
        <f>'DATA US'!D26</f>
        <v>IRPAN MAULANA</v>
      </c>
      <c r="B38">
        <f>'DATA US'!B26</f>
        <v>222310012</v>
      </c>
      <c r="C38" s="83" t="s">
        <v>519</v>
      </c>
      <c r="D38" s="84" t="s">
        <v>105</v>
      </c>
      <c r="E38" t="s">
        <v>889</v>
      </c>
      <c r="F38" t="s">
        <v>36</v>
      </c>
      <c r="G38" s="77">
        <v>83.14</v>
      </c>
      <c r="H38" s="77">
        <v>83.74</v>
      </c>
      <c r="I38" s="77">
        <v>88.27</v>
      </c>
      <c r="J38" s="77">
        <v>81.78</v>
      </c>
      <c r="K38" s="77">
        <v>85.5</v>
      </c>
      <c r="L38" s="77">
        <v>82.1</v>
      </c>
      <c r="M38" s="77">
        <v>81</v>
      </c>
      <c r="N38" s="77">
        <v>85.2</v>
      </c>
      <c r="O38" s="77">
        <v>85.5</v>
      </c>
      <c r="P38" s="77">
        <v>81</v>
      </c>
      <c r="Q38" s="77">
        <v>85</v>
      </c>
      <c r="R38" s="77">
        <v>84.5</v>
      </c>
      <c r="S38" s="77">
        <v>80.3333333333333</v>
      </c>
      <c r="T38" s="77">
        <v>85.9583333333333</v>
      </c>
      <c r="U38" s="77">
        <v>83.804833333333306</v>
      </c>
      <c r="V38" s="77">
        <v>84.533333333333303</v>
      </c>
      <c r="W38" t="str">
        <f>'DATA US'!I26</f>
        <v>SALIM</v>
      </c>
      <c r="X38" t="str">
        <f>'DATA US'!C26</f>
        <v>0075073374</v>
      </c>
      <c r="Y38" s="308" t="s">
        <v>1309</v>
      </c>
    </row>
    <row r="39" spans="1:25" ht="15.6">
      <c r="A39" t="str">
        <f>'DATA US'!D85</f>
        <v>IRWAN SAPUTRA</v>
      </c>
      <c r="B39">
        <f>'DATA US'!B85</f>
        <v>222310069</v>
      </c>
      <c r="C39" s="83" t="s">
        <v>519</v>
      </c>
      <c r="D39" s="84" t="s">
        <v>453</v>
      </c>
      <c r="E39" t="s">
        <v>889</v>
      </c>
      <c r="F39" t="s">
        <v>36</v>
      </c>
      <c r="G39" s="77">
        <v>82.95</v>
      </c>
      <c r="H39" s="77">
        <v>83.8</v>
      </c>
      <c r="I39" s="77">
        <v>86.58</v>
      </c>
      <c r="J39" s="77">
        <v>82.14</v>
      </c>
      <c r="K39" s="77">
        <v>84</v>
      </c>
      <c r="L39" s="77">
        <v>83.18</v>
      </c>
      <c r="M39" s="77">
        <v>84</v>
      </c>
      <c r="N39" s="77">
        <v>84.8</v>
      </c>
      <c r="O39" s="77">
        <v>81.5</v>
      </c>
      <c r="P39" s="77">
        <v>78.5</v>
      </c>
      <c r="Q39" s="77">
        <v>83.5</v>
      </c>
      <c r="R39" s="77">
        <v>84</v>
      </c>
      <c r="S39" s="77">
        <v>80.1666666666667</v>
      </c>
      <c r="T39" s="77">
        <v>87.1666666666667</v>
      </c>
      <c r="U39" s="77">
        <v>83.627499999999998</v>
      </c>
      <c r="V39" s="77">
        <v>83.627499999999998</v>
      </c>
      <c r="W39" t="str">
        <f>'DATA US'!I85</f>
        <v>EDI</v>
      </c>
      <c r="X39" t="str">
        <f>'DATA US'!C85</f>
        <v>0072650086</v>
      </c>
      <c r="Y39" s="308" t="s">
        <v>1310</v>
      </c>
    </row>
    <row r="40" spans="1:25" ht="15.6">
      <c r="A40" t="str">
        <f>'DATA US'!D27</f>
        <v>JULIUS MANGI ULY</v>
      </c>
      <c r="B40">
        <f>'DATA US'!B27</f>
        <v>222310013</v>
      </c>
      <c r="C40" s="83" t="s">
        <v>891</v>
      </c>
      <c r="D40" s="84" t="s">
        <v>112</v>
      </c>
      <c r="E40" t="s">
        <v>889</v>
      </c>
      <c r="F40" t="s">
        <v>36</v>
      </c>
      <c r="G40" s="77">
        <v>83.9</v>
      </c>
      <c r="H40" s="77">
        <v>87.12</v>
      </c>
      <c r="I40" s="77">
        <v>88.43</v>
      </c>
      <c r="J40" s="77">
        <v>90.26</v>
      </c>
      <c r="K40" s="77">
        <v>87</v>
      </c>
      <c r="L40" s="77">
        <v>84.84</v>
      </c>
      <c r="M40" s="77">
        <v>82</v>
      </c>
      <c r="N40" s="77">
        <v>84.7</v>
      </c>
      <c r="O40" s="77">
        <v>87</v>
      </c>
      <c r="P40" s="77">
        <v>82.5</v>
      </c>
      <c r="Q40" s="77">
        <v>86</v>
      </c>
      <c r="R40" s="77">
        <v>83.5</v>
      </c>
      <c r="S40" s="77">
        <v>83.5</v>
      </c>
      <c r="T40" s="77">
        <v>86.95</v>
      </c>
      <c r="U40" s="77">
        <v>85.545833333333306</v>
      </c>
      <c r="V40" s="77">
        <v>85.366666666666703</v>
      </c>
      <c r="W40" t="str">
        <f>'DATA US'!I27</f>
        <v>YONAS MANGI ULY</v>
      </c>
      <c r="X40" t="str">
        <f>'DATA US'!C27</f>
        <v>0066462669</v>
      </c>
      <c r="Y40" s="308" t="s">
        <v>1311</v>
      </c>
    </row>
    <row r="41" spans="1:25" ht="15.6">
      <c r="A41" t="str">
        <f>'DATA US'!D86</f>
        <v>KARDI MAULANA</v>
      </c>
      <c r="B41">
        <f>'DATA US'!B86</f>
        <v>222310070</v>
      </c>
      <c r="C41" s="83" t="s">
        <v>519</v>
      </c>
      <c r="D41" s="85" t="s">
        <v>459</v>
      </c>
      <c r="E41" t="s">
        <v>889</v>
      </c>
      <c r="F41" t="s">
        <v>36</v>
      </c>
      <c r="G41" s="77">
        <v>85.07</v>
      </c>
      <c r="H41" s="77">
        <v>85.24</v>
      </c>
      <c r="I41" s="77">
        <v>88.42</v>
      </c>
      <c r="J41" s="77">
        <v>87.16</v>
      </c>
      <c r="K41" s="77">
        <v>85</v>
      </c>
      <c r="L41" s="77">
        <v>86.28</v>
      </c>
      <c r="M41" s="77">
        <v>83</v>
      </c>
      <c r="N41" s="77">
        <v>85.1</v>
      </c>
      <c r="O41" s="77">
        <v>83</v>
      </c>
      <c r="P41" s="77">
        <v>80</v>
      </c>
      <c r="Q41" s="77">
        <v>83</v>
      </c>
      <c r="R41" s="77">
        <v>85.5</v>
      </c>
      <c r="S41" s="77">
        <v>80.6666666666667</v>
      </c>
      <c r="T41" s="77">
        <v>86.391666666666694</v>
      </c>
      <c r="U41" s="77">
        <v>84.451833333333298</v>
      </c>
      <c r="V41" s="77">
        <v>84.451833333333298</v>
      </c>
      <c r="W41" t="str">
        <f>'DATA US'!I86</f>
        <v>EDI JUNAEDI</v>
      </c>
      <c r="X41" t="str">
        <f>'DATA US'!C86</f>
        <v>0073077836</v>
      </c>
      <c r="Y41" s="308" t="s">
        <v>1312</v>
      </c>
    </row>
    <row r="42" spans="1:25" ht="15.6">
      <c r="A42" t="str">
        <f>'DATA US'!D87</f>
        <v>LUTHFI PURNAMA</v>
      </c>
      <c r="B42">
        <f>'DATA US'!B87</f>
        <v>222310071</v>
      </c>
      <c r="C42" s="83" t="s">
        <v>519</v>
      </c>
      <c r="D42" s="85" t="s">
        <v>465</v>
      </c>
      <c r="E42" t="s">
        <v>889</v>
      </c>
      <c r="F42" t="s">
        <v>36</v>
      </c>
      <c r="G42" s="77">
        <v>84.22</v>
      </c>
      <c r="H42" s="77">
        <v>85.94</v>
      </c>
      <c r="I42" s="77">
        <v>90.32</v>
      </c>
      <c r="J42" s="77">
        <v>88.46</v>
      </c>
      <c r="K42" s="77">
        <v>86</v>
      </c>
      <c r="L42" s="77">
        <v>90.14</v>
      </c>
      <c r="M42" s="77">
        <v>84</v>
      </c>
      <c r="N42" s="77">
        <v>86.6</v>
      </c>
      <c r="O42" s="77">
        <v>83.5</v>
      </c>
      <c r="P42" s="77">
        <v>81</v>
      </c>
      <c r="Q42" s="77">
        <v>83.5</v>
      </c>
      <c r="R42" s="77">
        <v>85</v>
      </c>
      <c r="S42" s="77">
        <v>80.6666666666667</v>
      </c>
      <c r="T42" s="77">
        <v>87.733333333333306</v>
      </c>
      <c r="U42" s="77">
        <v>85.352333333333306</v>
      </c>
      <c r="V42" s="77">
        <v>85.352333333333306</v>
      </c>
      <c r="W42" t="str">
        <f>'DATA US'!I87</f>
        <v>SAKRIH</v>
      </c>
      <c r="X42" t="str">
        <f>'DATA US'!C87</f>
        <v>0072160321</v>
      </c>
      <c r="Y42" s="308" t="s">
        <v>1313</v>
      </c>
    </row>
    <row r="43" spans="1:25" ht="15.6">
      <c r="A43" t="str">
        <f>'DATA US'!D58</f>
        <v>M IQBAL HENDRAWAN</v>
      </c>
      <c r="B43">
        <f>'DATA US'!B58</f>
        <v>222310041</v>
      </c>
      <c r="C43" s="83" t="s">
        <v>519</v>
      </c>
      <c r="D43" s="85" t="s">
        <v>293</v>
      </c>
      <c r="E43" t="s">
        <v>889</v>
      </c>
      <c r="F43" t="s">
        <v>36</v>
      </c>
      <c r="G43" s="77">
        <v>86.44</v>
      </c>
      <c r="H43" s="77">
        <v>86.56</v>
      </c>
      <c r="I43" s="77">
        <v>91.36</v>
      </c>
      <c r="J43" s="77">
        <v>85.18</v>
      </c>
      <c r="K43" s="77">
        <v>86.5</v>
      </c>
      <c r="L43" s="77">
        <v>87.3</v>
      </c>
      <c r="M43" s="77">
        <v>84.5</v>
      </c>
      <c r="N43" s="77">
        <v>86.7</v>
      </c>
      <c r="O43" s="77">
        <v>87</v>
      </c>
      <c r="P43" s="77">
        <v>84</v>
      </c>
      <c r="Q43" s="77">
        <v>86</v>
      </c>
      <c r="R43" s="77">
        <v>86</v>
      </c>
      <c r="S43" s="77">
        <v>82.3333333333333</v>
      </c>
      <c r="T43" s="77">
        <v>86.125</v>
      </c>
      <c r="U43" s="77">
        <v>85.688666666666705</v>
      </c>
      <c r="V43" s="77">
        <v>84.733333333333306</v>
      </c>
      <c r="W43" t="str">
        <f>'DATA US'!I58</f>
        <v>HENDRA NURDIANSYAH</v>
      </c>
      <c r="X43" t="str">
        <f>'DATA US'!C58</f>
        <v>0076850408</v>
      </c>
      <c r="Y43" s="308" t="s">
        <v>1314</v>
      </c>
    </row>
    <row r="44" spans="1:25" ht="15.6">
      <c r="A44" t="str">
        <f>'DATA US'!D89</f>
        <v>M. GILANG PRAYOGI</v>
      </c>
      <c r="B44">
        <f>'DATA US'!B89</f>
        <v>222310073</v>
      </c>
      <c r="C44" s="83" t="s">
        <v>519</v>
      </c>
      <c r="D44" s="85" t="s">
        <v>477</v>
      </c>
      <c r="E44" t="s">
        <v>889</v>
      </c>
      <c r="F44" t="s">
        <v>36</v>
      </c>
      <c r="G44" s="77">
        <v>84.73</v>
      </c>
      <c r="H44" s="77">
        <v>84.22</v>
      </c>
      <c r="I44" s="77">
        <v>90.28</v>
      </c>
      <c r="J44" s="77">
        <v>83.24</v>
      </c>
      <c r="K44" s="77">
        <v>86</v>
      </c>
      <c r="L44" s="77">
        <v>86.52</v>
      </c>
      <c r="M44" s="77">
        <v>83</v>
      </c>
      <c r="N44" s="77">
        <v>83.1</v>
      </c>
      <c r="O44" s="77">
        <v>84</v>
      </c>
      <c r="P44" s="77">
        <v>83</v>
      </c>
      <c r="Q44" s="77">
        <v>84</v>
      </c>
      <c r="R44" s="77">
        <v>85</v>
      </c>
      <c r="S44" s="77">
        <v>82.3333333333333</v>
      </c>
      <c r="T44" s="77">
        <v>84.641666666666694</v>
      </c>
      <c r="U44" s="77">
        <v>84.279499999999999</v>
      </c>
      <c r="V44" s="77">
        <v>84.279499999999999</v>
      </c>
      <c r="W44" t="str">
        <f>'DATA US'!I89</f>
        <v>KARSUM</v>
      </c>
      <c r="X44" t="str">
        <f>'DATA US'!C89</f>
        <v>0071000045</v>
      </c>
      <c r="Y44" s="308" t="s">
        <v>1315</v>
      </c>
    </row>
    <row r="45" spans="1:25" ht="15.6">
      <c r="A45" t="str">
        <f>'DATA US'!D28</f>
        <v>M.RHAFLY RAHMAN</v>
      </c>
      <c r="B45">
        <f>'DATA US'!B28</f>
        <v>222310014</v>
      </c>
      <c r="C45" s="83" t="s">
        <v>519</v>
      </c>
      <c r="D45" s="84" t="s">
        <v>118</v>
      </c>
      <c r="E45" t="s">
        <v>889</v>
      </c>
      <c r="F45" t="s">
        <v>36</v>
      </c>
      <c r="G45" s="77">
        <v>84.68</v>
      </c>
      <c r="H45" s="77">
        <v>86.42</v>
      </c>
      <c r="I45" s="77">
        <v>89.76</v>
      </c>
      <c r="J45" s="77">
        <v>89.64</v>
      </c>
      <c r="K45" s="77">
        <v>87</v>
      </c>
      <c r="L45" s="77">
        <v>85.44</v>
      </c>
      <c r="M45" s="77">
        <v>84.5</v>
      </c>
      <c r="N45" s="77">
        <v>84.8</v>
      </c>
      <c r="O45" s="77">
        <v>85.5</v>
      </c>
      <c r="P45" s="77">
        <v>82</v>
      </c>
      <c r="Q45" s="77">
        <v>84.5</v>
      </c>
      <c r="R45" s="77">
        <v>82.5</v>
      </c>
      <c r="S45" s="77">
        <v>84.3333333333333</v>
      </c>
      <c r="T45" s="77">
        <v>86.233333333333306</v>
      </c>
      <c r="U45" s="77">
        <v>85.468666666666707</v>
      </c>
      <c r="V45" s="77">
        <v>84.7</v>
      </c>
      <c r="W45" t="str">
        <f>'DATA US'!I28</f>
        <v>SURI SURAHMAN</v>
      </c>
      <c r="X45" t="str">
        <f>'DATA US'!C28</f>
        <v>0072204586</v>
      </c>
      <c r="Y45" s="308" t="s">
        <v>1316</v>
      </c>
    </row>
    <row r="46" spans="1:25" s="2" customFormat="1" ht="15.6">
      <c r="A46" s="2" t="str">
        <f>'DATA US'!D59</f>
        <v>MAHESA APRIATNA</v>
      </c>
      <c r="B46" s="2">
        <f>'DATA US'!B59</f>
        <v>222310042</v>
      </c>
      <c r="C46" s="328" t="s">
        <v>897</v>
      </c>
      <c r="D46" s="329" t="s">
        <v>300</v>
      </c>
      <c r="E46" s="2" t="s">
        <v>889</v>
      </c>
      <c r="F46" s="2" t="s">
        <v>36</v>
      </c>
      <c r="G46" s="78">
        <v>83.5</v>
      </c>
      <c r="H46" s="78">
        <v>85.72</v>
      </c>
      <c r="I46" s="78">
        <v>89.36</v>
      </c>
      <c r="J46" s="78">
        <v>80.94</v>
      </c>
      <c r="K46" s="78">
        <v>84</v>
      </c>
      <c r="L46" s="78">
        <v>84.88</v>
      </c>
      <c r="M46" s="78">
        <v>81.5</v>
      </c>
      <c r="N46" s="78">
        <v>87</v>
      </c>
      <c r="O46" s="78">
        <v>85.5</v>
      </c>
      <c r="P46" s="78">
        <v>78.5</v>
      </c>
      <c r="Q46" s="78">
        <v>83</v>
      </c>
      <c r="R46" s="78">
        <v>83</v>
      </c>
      <c r="S46" s="78">
        <v>80.6666666666667</v>
      </c>
      <c r="T46" s="78">
        <v>86.733333333333306</v>
      </c>
      <c r="U46" s="78">
        <v>84.02</v>
      </c>
      <c r="V46" s="78">
        <v>84.566666666666706</v>
      </c>
      <c r="W46" s="2" t="str">
        <f>'DATA US'!I59</f>
        <v>NANO SUTIONO</v>
      </c>
      <c r="X46" s="2" t="str">
        <f>'DATA US'!C59</f>
        <v>0069805365</v>
      </c>
      <c r="Y46" s="327" t="s">
        <v>1317</v>
      </c>
    </row>
    <row r="47" spans="1:25" ht="15.6">
      <c r="A47" t="str">
        <f>'DATA US'!D29</f>
        <v>MARJAYA</v>
      </c>
      <c r="B47">
        <f>'DATA US'!B29</f>
        <v>222310141</v>
      </c>
      <c r="C47" s="83" t="s">
        <v>519</v>
      </c>
      <c r="D47" s="85" t="s">
        <v>124</v>
      </c>
      <c r="E47" t="s">
        <v>889</v>
      </c>
      <c r="F47" t="s">
        <v>36</v>
      </c>
      <c r="G47" s="77">
        <v>81.7</v>
      </c>
      <c r="H47" s="77">
        <v>81.260000000000005</v>
      </c>
      <c r="I47" s="77">
        <v>84.38</v>
      </c>
      <c r="J47" s="77">
        <v>80.239999999999995</v>
      </c>
      <c r="K47" s="77">
        <v>75</v>
      </c>
      <c r="L47" s="77">
        <v>81.599999999999994</v>
      </c>
      <c r="M47" s="77">
        <v>78</v>
      </c>
      <c r="N47" s="77">
        <v>81.099999999999994</v>
      </c>
      <c r="O47" s="77">
        <v>75</v>
      </c>
      <c r="P47" s="77">
        <v>80.5</v>
      </c>
      <c r="Q47" s="77">
        <v>77</v>
      </c>
      <c r="R47" s="77">
        <v>77</v>
      </c>
      <c r="S47" s="77">
        <v>75</v>
      </c>
      <c r="T47" s="77">
        <v>82.883333333333297</v>
      </c>
      <c r="U47" s="77">
        <v>79.580666666666701</v>
      </c>
      <c r="V47" s="77">
        <v>82.3</v>
      </c>
      <c r="W47" t="str">
        <f>'DATA US'!I29</f>
        <v>KOMARUDIN</v>
      </c>
      <c r="X47" t="str">
        <f>'DATA US'!C29</f>
        <v>0071036654</v>
      </c>
      <c r="Y47" s="308" t="s">
        <v>1318</v>
      </c>
    </row>
    <row r="48" spans="1:25" ht="15.6">
      <c r="A48" t="str">
        <f>'DATA US'!D30</f>
        <v>MARSANDA</v>
      </c>
      <c r="B48">
        <f>'DATA US'!B30</f>
        <v>222310015</v>
      </c>
      <c r="C48" s="83" t="s">
        <v>519</v>
      </c>
      <c r="D48" s="84" t="s">
        <v>130</v>
      </c>
      <c r="E48" t="s">
        <v>889</v>
      </c>
      <c r="F48" t="s">
        <v>36</v>
      </c>
      <c r="G48" s="77">
        <v>81.12</v>
      </c>
      <c r="H48" s="77">
        <v>81.52</v>
      </c>
      <c r="I48" s="77">
        <v>83.57</v>
      </c>
      <c r="J48" s="77">
        <v>79.42</v>
      </c>
      <c r="K48" s="77">
        <v>76.5</v>
      </c>
      <c r="L48" s="77">
        <v>79.760000000000005</v>
      </c>
      <c r="M48" s="77">
        <v>81</v>
      </c>
      <c r="N48" s="77">
        <v>86.4</v>
      </c>
      <c r="O48" s="77">
        <v>81</v>
      </c>
      <c r="P48" s="77">
        <v>78.5</v>
      </c>
      <c r="Q48" s="77">
        <v>82</v>
      </c>
      <c r="R48" s="77">
        <v>82</v>
      </c>
      <c r="S48" s="77">
        <v>77</v>
      </c>
      <c r="T48" s="77">
        <v>83.6</v>
      </c>
      <c r="U48" s="77">
        <v>81.009500000000003</v>
      </c>
      <c r="V48" s="77">
        <v>82</v>
      </c>
      <c r="W48" t="str">
        <f>'DATA US'!I30</f>
        <v>RASAN BIN BADENG</v>
      </c>
      <c r="X48" t="str">
        <f>'DATA US'!C30</f>
        <v>0064639984</v>
      </c>
      <c r="Y48" s="308" t="s">
        <v>1319</v>
      </c>
    </row>
    <row r="49" spans="1:25" ht="15.6">
      <c r="A49" t="str">
        <f>'DATA US'!D60</f>
        <v>MOHAMMAD SYAHRUR ROMDHONI</v>
      </c>
      <c r="B49">
        <f>'DATA US'!B60</f>
        <v>222310043</v>
      </c>
      <c r="C49" s="83" t="s">
        <v>519</v>
      </c>
      <c r="D49" s="84" t="s">
        <v>307</v>
      </c>
      <c r="E49" t="s">
        <v>889</v>
      </c>
      <c r="F49" t="s">
        <v>36</v>
      </c>
      <c r="G49" s="77">
        <v>83.88</v>
      </c>
      <c r="H49" s="77">
        <v>85.46</v>
      </c>
      <c r="I49" s="77">
        <v>88.58</v>
      </c>
      <c r="J49" s="77">
        <v>82.32</v>
      </c>
      <c r="K49" s="77">
        <v>83.5</v>
      </c>
      <c r="L49" s="77">
        <v>85.34</v>
      </c>
      <c r="M49" s="77">
        <v>81</v>
      </c>
      <c r="N49" s="77">
        <v>84.9</v>
      </c>
      <c r="O49" s="77">
        <v>81.5</v>
      </c>
      <c r="P49" s="77">
        <v>82</v>
      </c>
      <c r="Q49" s="77">
        <v>82</v>
      </c>
      <c r="R49" s="77">
        <v>82</v>
      </c>
      <c r="S49" s="77">
        <v>80.5</v>
      </c>
      <c r="T49" s="77">
        <v>87.5416666666667</v>
      </c>
      <c r="U49" s="77">
        <v>83.962333333333305</v>
      </c>
      <c r="V49" s="77">
        <v>85.1</v>
      </c>
      <c r="W49" t="str">
        <f>'DATA US'!I60</f>
        <v>ABDUN NAFI</v>
      </c>
      <c r="X49" t="str">
        <f>'DATA US'!C60</f>
        <v>0061289805</v>
      </c>
      <c r="Y49" s="308" t="s">
        <v>1320</v>
      </c>
    </row>
    <row r="50" spans="1:25" ht="15.6">
      <c r="A50" t="str">
        <f>'DATA US'!D88</f>
        <v>MUHAMAD AGUNG LAKSANA</v>
      </c>
      <c r="B50">
        <f>'DATA US'!B88</f>
        <v>222310072</v>
      </c>
      <c r="C50" s="83" t="s">
        <v>519</v>
      </c>
      <c r="D50" s="85" t="s">
        <v>471</v>
      </c>
      <c r="E50" t="s">
        <v>889</v>
      </c>
      <c r="F50" t="s">
        <v>36</v>
      </c>
      <c r="G50" s="77">
        <v>81.489999999999995</v>
      </c>
      <c r="H50" s="77">
        <v>82.96</v>
      </c>
      <c r="I50" s="77">
        <v>83.79</v>
      </c>
      <c r="J50" s="77">
        <v>81.02</v>
      </c>
      <c r="K50" s="77">
        <v>82</v>
      </c>
      <c r="L50" s="77">
        <v>82.86</v>
      </c>
      <c r="M50" s="77">
        <v>83</v>
      </c>
      <c r="N50" s="77">
        <v>80.8</v>
      </c>
      <c r="O50" s="77">
        <v>81</v>
      </c>
      <c r="P50" s="77">
        <v>80.5</v>
      </c>
      <c r="Q50" s="77">
        <v>82.5</v>
      </c>
      <c r="R50" s="77">
        <v>83.5</v>
      </c>
      <c r="S50" s="77">
        <v>78.5</v>
      </c>
      <c r="T50" s="77">
        <v>83.474999999999994</v>
      </c>
      <c r="U50" s="77">
        <v>81.967666666666702</v>
      </c>
      <c r="V50" s="77">
        <v>81.967666666666702</v>
      </c>
      <c r="W50" t="str">
        <f>'DATA US'!I88</f>
        <v>MINAL SYAHRONI</v>
      </c>
      <c r="X50" t="str">
        <f>'DATA US'!C88</f>
        <v>0074411269</v>
      </c>
      <c r="Y50" s="308" t="s">
        <v>1321</v>
      </c>
    </row>
    <row r="51" spans="1:25" ht="15.6">
      <c r="A51" t="str">
        <f>'DATA US'!D31</f>
        <v>MUHAMAD FADILAH</v>
      </c>
      <c r="B51">
        <f>'DATA US'!B31</f>
        <v>222310016</v>
      </c>
      <c r="C51" s="83" t="s">
        <v>892</v>
      </c>
      <c r="D51" s="84" t="s">
        <v>137</v>
      </c>
      <c r="E51" t="s">
        <v>889</v>
      </c>
      <c r="F51" t="s">
        <v>36</v>
      </c>
      <c r="G51" s="77">
        <v>82.44</v>
      </c>
      <c r="H51" s="77">
        <v>82.8</v>
      </c>
      <c r="I51" s="77">
        <v>83.33</v>
      </c>
      <c r="J51" s="77">
        <v>79.959999999999994</v>
      </c>
      <c r="K51" s="77">
        <v>79</v>
      </c>
      <c r="L51" s="77">
        <v>81.260000000000005</v>
      </c>
      <c r="M51" s="77">
        <v>80</v>
      </c>
      <c r="N51" s="77">
        <v>85</v>
      </c>
      <c r="O51" s="77">
        <v>83.5</v>
      </c>
      <c r="P51" s="77">
        <v>79</v>
      </c>
      <c r="Q51" s="77">
        <v>81.5</v>
      </c>
      <c r="R51" s="77">
        <v>81.5</v>
      </c>
      <c r="S51" s="77">
        <v>75.6666666666667</v>
      </c>
      <c r="T51" s="77">
        <v>82.7</v>
      </c>
      <c r="U51" s="77">
        <v>80.954499999999996</v>
      </c>
      <c r="V51" s="77">
        <v>82</v>
      </c>
      <c r="W51" t="str">
        <f>'DATA US'!I31</f>
        <v>ELI SUHERMAN</v>
      </c>
      <c r="X51" t="str">
        <f>'DATA US'!C31</f>
        <v>0064164564</v>
      </c>
      <c r="Y51" s="308" t="s">
        <v>1322</v>
      </c>
    </row>
    <row r="52" spans="1:25" ht="15.6">
      <c r="A52" t="str">
        <f>'DATA US'!D61</f>
        <v>MUHAMAD HARISKY</v>
      </c>
      <c r="B52">
        <f>'DATA US'!B61</f>
        <v>222310044</v>
      </c>
      <c r="C52" s="83" t="s">
        <v>519</v>
      </c>
      <c r="D52" s="86">
        <v>39041</v>
      </c>
      <c r="E52" t="s">
        <v>889</v>
      </c>
      <c r="F52" t="s">
        <v>36</v>
      </c>
      <c r="G52" s="77">
        <v>84.58</v>
      </c>
      <c r="H52" s="77">
        <v>86.24</v>
      </c>
      <c r="I52" s="77">
        <v>88.82</v>
      </c>
      <c r="J52" s="77">
        <v>90.04</v>
      </c>
      <c r="K52" s="77">
        <v>84</v>
      </c>
      <c r="L52" s="77">
        <v>86.54</v>
      </c>
      <c r="M52" s="77">
        <v>82</v>
      </c>
      <c r="N52" s="77">
        <v>86.5</v>
      </c>
      <c r="O52" s="77">
        <v>82</v>
      </c>
      <c r="P52" s="77">
        <v>80</v>
      </c>
      <c r="Q52" s="77">
        <v>83</v>
      </c>
      <c r="R52" s="77">
        <v>82</v>
      </c>
      <c r="S52" s="77">
        <v>81.5</v>
      </c>
      <c r="T52" s="77">
        <v>86.35</v>
      </c>
      <c r="U52" s="77">
        <v>84.499333333333297</v>
      </c>
      <c r="V52" s="77">
        <v>84.366666666666703</v>
      </c>
      <c r="W52" t="str">
        <f>'DATA US'!I61</f>
        <v>WAHIDIN</v>
      </c>
      <c r="X52" t="str">
        <f>'DATA US'!C61</f>
        <v>0064789350</v>
      </c>
      <c r="Y52" s="308" t="s">
        <v>1323</v>
      </c>
    </row>
    <row r="53" spans="1:25" ht="15.6">
      <c r="A53" t="str">
        <f>'DATA US'!D62</f>
        <v>MUHAMAD ILLHAM ALLHUSNI</v>
      </c>
      <c r="B53">
        <f>'DATA US'!B62</f>
        <v>222310045</v>
      </c>
      <c r="C53" s="83" t="s">
        <v>519</v>
      </c>
      <c r="D53" s="85" t="s">
        <v>317</v>
      </c>
      <c r="E53" t="s">
        <v>889</v>
      </c>
      <c r="F53" t="s">
        <v>36</v>
      </c>
      <c r="G53" s="77">
        <v>86.14</v>
      </c>
      <c r="H53" s="77">
        <v>86.92</v>
      </c>
      <c r="I53" s="77">
        <v>91.08</v>
      </c>
      <c r="J53" s="77">
        <v>88.6</v>
      </c>
      <c r="K53" s="77">
        <v>84.5</v>
      </c>
      <c r="L53" s="77">
        <v>84.5</v>
      </c>
      <c r="M53" s="77">
        <v>82</v>
      </c>
      <c r="N53" s="77">
        <v>87.7</v>
      </c>
      <c r="O53" s="77">
        <v>86.5</v>
      </c>
      <c r="P53" s="77">
        <v>79</v>
      </c>
      <c r="Q53" s="77">
        <v>84</v>
      </c>
      <c r="R53" s="77">
        <v>82.5</v>
      </c>
      <c r="S53" s="77">
        <v>84.5</v>
      </c>
      <c r="T53" s="77">
        <v>86.4166666666667</v>
      </c>
      <c r="U53" s="77">
        <v>85.337000000000003</v>
      </c>
      <c r="V53" s="77">
        <v>84.133333333333297</v>
      </c>
      <c r="W53" t="str">
        <f>'DATA US'!I62</f>
        <v>SARDI</v>
      </c>
      <c r="X53" t="str">
        <f>'DATA US'!C62</f>
        <v>0062164345</v>
      </c>
      <c r="Y53" s="308" t="s">
        <v>1324</v>
      </c>
    </row>
    <row r="54" spans="1:25" ht="15.6">
      <c r="A54" t="str">
        <f>'DATA US'!D32</f>
        <v>MUHAMAD RIDWAN</v>
      </c>
      <c r="B54">
        <f>'DATA US'!B32</f>
        <v>222310017</v>
      </c>
      <c r="C54" s="83" t="s">
        <v>519</v>
      </c>
      <c r="D54" s="84" t="s">
        <v>143</v>
      </c>
      <c r="E54" t="s">
        <v>889</v>
      </c>
      <c r="F54" t="s">
        <v>36</v>
      </c>
      <c r="G54" s="77">
        <v>82.02</v>
      </c>
      <c r="H54" s="77">
        <v>85.18</v>
      </c>
      <c r="I54" s="77">
        <v>83.33</v>
      </c>
      <c r="J54" s="77">
        <v>81.98</v>
      </c>
      <c r="K54" s="77">
        <v>77.5</v>
      </c>
      <c r="L54" s="77">
        <v>80.88</v>
      </c>
      <c r="M54" s="77">
        <v>81</v>
      </c>
      <c r="N54" s="77">
        <v>84.8</v>
      </c>
      <c r="O54" s="77">
        <v>81</v>
      </c>
      <c r="P54" s="77">
        <v>79</v>
      </c>
      <c r="Q54" s="77">
        <v>82.5</v>
      </c>
      <c r="R54" s="77">
        <v>83</v>
      </c>
      <c r="S54" s="77">
        <v>76</v>
      </c>
      <c r="T54" s="77">
        <v>82.491666666666703</v>
      </c>
      <c r="U54" s="77">
        <v>81.114500000000007</v>
      </c>
      <c r="V54" s="77">
        <v>82.133333333333297</v>
      </c>
      <c r="W54" t="str">
        <f>'DATA US'!I32</f>
        <v>SUKARNO</v>
      </c>
      <c r="X54" t="str">
        <f>'DATA US'!C32</f>
        <v>0076466900</v>
      </c>
      <c r="Y54" s="308" t="s">
        <v>1325</v>
      </c>
    </row>
    <row r="55" spans="1:25" ht="15.6">
      <c r="A55" t="str">
        <f>'DATA US'!D63</f>
        <v>MUHAMAD RIZKI ZAELANI</v>
      </c>
      <c r="B55">
        <f>'DATA US'!B63</f>
        <v>222310047</v>
      </c>
      <c r="C55" s="83" t="s">
        <v>519</v>
      </c>
      <c r="D55" s="85" t="s">
        <v>323</v>
      </c>
      <c r="E55" t="s">
        <v>889</v>
      </c>
      <c r="F55" t="s">
        <v>36</v>
      </c>
      <c r="G55" s="77">
        <v>83.12</v>
      </c>
      <c r="H55" s="77">
        <v>84.74</v>
      </c>
      <c r="I55" s="77">
        <v>89.14</v>
      </c>
      <c r="J55" s="77">
        <v>88.94</v>
      </c>
      <c r="K55" s="77">
        <v>83</v>
      </c>
      <c r="L55" s="77">
        <v>85.6</v>
      </c>
      <c r="M55" s="77">
        <v>83</v>
      </c>
      <c r="N55" s="77">
        <v>84.3</v>
      </c>
      <c r="O55" s="77">
        <v>85</v>
      </c>
      <c r="P55" s="77">
        <v>83</v>
      </c>
      <c r="Q55" s="77">
        <v>83.5</v>
      </c>
      <c r="R55" s="77">
        <v>83.5</v>
      </c>
      <c r="S55" s="77">
        <v>81.3333333333333</v>
      </c>
      <c r="T55" s="77">
        <v>86.383333333333297</v>
      </c>
      <c r="U55" s="77">
        <v>84.518666666666604</v>
      </c>
      <c r="V55" s="77">
        <v>84</v>
      </c>
      <c r="W55" t="str">
        <f>'DATA US'!I63</f>
        <v>SUHARA</v>
      </c>
      <c r="X55" t="str">
        <f>'DATA US'!C63</f>
        <v>0078523307</v>
      </c>
      <c r="Y55" s="308" t="s">
        <v>1326</v>
      </c>
    </row>
    <row r="56" spans="1:25" ht="15.6">
      <c r="A56" t="str">
        <f>'DATA US'!D33</f>
        <v>MUHAMMAD DAFFA BADRANI</v>
      </c>
      <c r="B56">
        <f>'DATA US'!B33</f>
        <v>222310018</v>
      </c>
      <c r="C56" s="83" t="s">
        <v>519</v>
      </c>
      <c r="D56" s="84" t="s">
        <v>149</v>
      </c>
      <c r="E56" t="s">
        <v>889</v>
      </c>
      <c r="F56" t="s">
        <v>36</v>
      </c>
      <c r="G56" s="77">
        <v>82.5</v>
      </c>
      <c r="H56" s="77">
        <v>81.739999999999995</v>
      </c>
      <c r="I56" s="77">
        <v>83.88</v>
      </c>
      <c r="J56" s="77">
        <v>79.72</v>
      </c>
      <c r="K56" s="77">
        <v>78</v>
      </c>
      <c r="L56" s="77">
        <v>80.12</v>
      </c>
      <c r="M56" s="77">
        <v>79.5</v>
      </c>
      <c r="N56" s="77">
        <v>85.4</v>
      </c>
      <c r="O56" s="77">
        <v>81</v>
      </c>
      <c r="P56" s="77">
        <v>78.5</v>
      </c>
      <c r="Q56" s="77">
        <v>81.5</v>
      </c>
      <c r="R56" s="77">
        <v>82.5</v>
      </c>
      <c r="S56" s="77">
        <v>81.3333333333333</v>
      </c>
      <c r="T56" s="77">
        <v>84.608333333333306</v>
      </c>
      <c r="U56" s="77">
        <v>81.954666666666697</v>
      </c>
      <c r="V56" s="77">
        <v>82.3</v>
      </c>
      <c r="W56" t="str">
        <f>'DATA US'!I33</f>
        <v>ANANG WIHANANTO</v>
      </c>
      <c r="X56" t="str">
        <f>'DATA US'!C33</f>
        <v>0078778308</v>
      </c>
      <c r="Y56" s="308" t="s">
        <v>1327</v>
      </c>
    </row>
    <row r="57" spans="1:25" ht="15.6">
      <c r="A57" t="str">
        <f>'DATA US'!D64</f>
        <v>MUHAMMAD FAREL RAMDANI</v>
      </c>
      <c r="B57">
        <f>'DATA US'!B64</f>
        <v>222310048</v>
      </c>
      <c r="C57" s="83" t="s">
        <v>519</v>
      </c>
      <c r="D57" s="84" t="s">
        <v>329</v>
      </c>
      <c r="E57" t="s">
        <v>889</v>
      </c>
      <c r="F57" t="s">
        <v>36</v>
      </c>
      <c r="G57" s="77">
        <v>82.56</v>
      </c>
      <c r="H57" s="77">
        <v>84.36</v>
      </c>
      <c r="I57" s="77">
        <v>89.12</v>
      </c>
      <c r="J57" s="77">
        <v>88.9</v>
      </c>
      <c r="K57" s="77">
        <v>83</v>
      </c>
      <c r="L57" s="77">
        <v>84.72</v>
      </c>
      <c r="M57" s="77">
        <v>81.5</v>
      </c>
      <c r="N57" s="77">
        <v>83.3</v>
      </c>
      <c r="O57" s="77">
        <v>83.5</v>
      </c>
      <c r="P57" s="77">
        <v>82</v>
      </c>
      <c r="Q57" s="77">
        <v>84.5</v>
      </c>
      <c r="R57" s="77">
        <v>84</v>
      </c>
      <c r="S57" s="77">
        <v>80.5</v>
      </c>
      <c r="T57" s="77">
        <v>87.158333333333303</v>
      </c>
      <c r="U57" s="77">
        <v>84.313000000000002</v>
      </c>
      <c r="V57" s="77">
        <v>84.6666666666667</v>
      </c>
      <c r="W57" t="str">
        <f>'DATA US'!I64</f>
        <v>AGUS MULYADI</v>
      </c>
      <c r="X57" t="str">
        <f>'DATA US'!C64</f>
        <v>0075254799</v>
      </c>
      <c r="Y57" s="308" t="s">
        <v>1328</v>
      </c>
    </row>
    <row r="58" spans="1:25" ht="15.6">
      <c r="A58" t="str">
        <f>'DATA US'!D34</f>
        <v>MUHAMMAD HAFIZ</v>
      </c>
      <c r="B58">
        <f>'DATA US'!B34</f>
        <v>222310019</v>
      </c>
      <c r="C58" s="83" t="s">
        <v>519</v>
      </c>
      <c r="D58" s="84" t="s">
        <v>154</v>
      </c>
      <c r="E58" t="s">
        <v>889</v>
      </c>
      <c r="F58" t="s">
        <v>36</v>
      </c>
      <c r="G58" s="77">
        <v>85.98</v>
      </c>
      <c r="H58" s="77">
        <v>87.64</v>
      </c>
      <c r="I58" s="77">
        <v>89.26</v>
      </c>
      <c r="J58" s="77">
        <v>91.12</v>
      </c>
      <c r="K58" s="77">
        <v>88.5</v>
      </c>
      <c r="L58" s="77">
        <v>88.74</v>
      </c>
      <c r="M58" s="77">
        <v>84</v>
      </c>
      <c r="N58" s="77">
        <v>85.6</v>
      </c>
      <c r="O58" s="77">
        <v>87.5</v>
      </c>
      <c r="P58" s="77">
        <v>81.5</v>
      </c>
      <c r="Q58" s="77">
        <v>85</v>
      </c>
      <c r="R58" s="77">
        <v>84.5</v>
      </c>
      <c r="S58" s="77">
        <v>84.8333333333333</v>
      </c>
      <c r="T58" s="77">
        <v>87.3</v>
      </c>
      <c r="U58" s="77">
        <v>86.400333333333293</v>
      </c>
      <c r="V58" s="77">
        <v>84.966666666666697</v>
      </c>
      <c r="W58" t="str">
        <f>'DATA US'!I34</f>
        <v>DRS. HASANUDDIN</v>
      </c>
      <c r="X58" t="str">
        <f>'DATA US'!C34</f>
        <v>0062690739</v>
      </c>
      <c r="Y58" s="308" t="s">
        <v>1329</v>
      </c>
    </row>
    <row r="59" spans="1:25" ht="15.6">
      <c r="A59" t="str">
        <f>'DATA US'!D35</f>
        <v>MUHAMMAD NUR</v>
      </c>
      <c r="B59">
        <f>'DATA US'!B35</f>
        <v>222310020</v>
      </c>
      <c r="C59" s="83" t="s">
        <v>519</v>
      </c>
      <c r="D59" s="84" t="s">
        <v>159</v>
      </c>
      <c r="E59" t="s">
        <v>889</v>
      </c>
      <c r="F59" t="s">
        <v>36</v>
      </c>
      <c r="G59" s="77">
        <v>85.34</v>
      </c>
      <c r="H59" s="77">
        <v>87.94</v>
      </c>
      <c r="I59" s="77">
        <v>90.14</v>
      </c>
      <c r="J59" s="77">
        <v>90.84</v>
      </c>
      <c r="K59" s="77">
        <v>87</v>
      </c>
      <c r="L59" s="77">
        <v>91.52</v>
      </c>
      <c r="M59" s="77">
        <v>83.5</v>
      </c>
      <c r="N59" s="77">
        <v>85.5</v>
      </c>
      <c r="O59" s="77">
        <v>86.5</v>
      </c>
      <c r="P59" s="77">
        <v>83</v>
      </c>
      <c r="Q59" s="77">
        <v>84.5</v>
      </c>
      <c r="R59" s="77">
        <v>84</v>
      </c>
      <c r="S59" s="77">
        <v>84.6666666666667</v>
      </c>
      <c r="T59" s="77">
        <v>86.825000000000003</v>
      </c>
      <c r="U59" s="77">
        <v>86.362333333333297</v>
      </c>
      <c r="V59" s="77">
        <v>86.1666666666667</v>
      </c>
      <c r="W59" t="str">
        <f>'DATA US'!I35</f>
        <v>NIRAN</v>
      </c>
      <c r="X59" t="str">
        <f>'DATA US'!C35</f>
        <v>0073389680</v>
      </c>
      <c r="Y59" s="308" t="s">
        <v>1330</v>
      </c>
    </row>
    <row r="60" spans="1:25" ht="15.6">
      <c r="A60" t="str">
        <f>'DATA US'!D65</f>
        <v>MUHAMMAD PANJI AZ-ZIRA</v>
      </c>
      <c r="B60">
        <f>'DATA US'!B65</f>
        <v>222310049</v>
      </c>
      <c r="C60" s="83" t="s">
        <v>519</v>
      </c>
      <c r="D60" s="86" t="s">
        <v>335</v>
      </c>
      <c r="E60" t="s">
        <v>889</v>
      </c>
      <c r="F60" t="s">
        <v>36</v>
      </c>
      <c r="G60" s="77">
        <v>82.2</v>
      </c>
      <c r="H60" s="77">
        <v>83.36</v>
      </c>
      <c r="I60" s="77">
        <v>87.6</v>
      </c>
      <c r="J60" s="77">
        <v>80.12</v>
      </c>
      <c r="K60" s="77">
        <v>83</v>
      </c>
      <c r="L60" s="77">
        <v>81.44</v>
      </c>
      <c r="M60" s="77">
        <v>81.5</v>
      </c>
      <c r="N60" s="77">
        <v>85.6</v>
      </c>
      <c r="O60" s="77">
        <v>83.5</v>
      </c>
      <c r="P60" s="77">
        <v>79.5</v>
      </c>
      <c r="Q60" s="77">
        <v>83.5</v>
      </c>
      <c r="R60" s="77">
        <v>82</v>
      </c>
      <c r="S60" s="77">
        <v>80.8333333333333</v>
      </c>
      <c r="T60" s="77">
        <v>84.383333333333297</v>
      </c>
      <c r="U60" s="77">
        <v>82.819333333333304</v>
      </c>
      <c r="V60" s="77">
        <v>83.033333333333303</v>
      </c>
      <c r="W60" t="str">
        <f>'DATA US'!I65</f>
        <v>UKAR</v>
      </c>
      <c r="X60" t="str">
        <f>'DATA US'!C65</f>
        <v>0071919948</v>
      </c>
      <c r="Y60" s="308" t="s">
        <v>1331</v>
      </c>
    </row>
    <row r="61" spans="1:25" ht="15.6">
      <c r="A61" t="str">
        <f>'DATA US'!D36</f>
        <v>MUHAMMAD REIFAN</v>
      </c>
      <c r="B61">
        <f>'DATA US'!B36</f>
        <v>222310021</v>
      </c>
      <c r="C61" s="83" t="s">
        <v>519</v>
      </c>
      <c r="D61" s="84" t="s">
        <v>165</v>
      </c>
      <c r="E61" t="s">
        <v>889</v>
      </c>
      <c r="F61" t="s">
        <v>36</v>
      </c>
      <c r="G61" s="77">
        <v>81.98</v>
      </c>
      <c r="H61" s="77">
        <v>82.96</v>
      </c>
      <c r="I61" s="77">
        <v>88.69</v>
      </c>
      <c r="J61" s="77">
        <v>89.04</v>
      </c>
      <c r="K61" s="77">
        <v>78.5</v>
      </c>
      <c r="L61" s="77">
        <v>83.46</v>
      </c>
      <c r="M61" s="77">
        <v>79.5</v>
      </c>
      <c r="N61" s="77">
        <v>85</v>
      </c>
      <c r="O61" s="77">
        <v>80.5</v>
      </c>
      <c r="P61" s="77">
        <v>80</v>
      </c>
      <c r="Q61" s="77">
        <v>82.5</v>
      </c>
      <c r="R61" s="77">
        <v>82</v>
      </c>
      <c r="S61" s="77">
        <v>76.1666666666667</v>
      </c>
      <c r="T61" s="77">
        <v>86.375</v>
      </c>
      <c r="U61" s="77">
        <v>82.628166666666701</v>
      </c>
      <c r="V61" s="77">
        <v>84.433333333333294</v>
      </c>
      <c r="W61" t="str">
        <f>'DATA US'!I36</f>
        <v>SYAEFUL</v>
      </c>
      <c r="X61" t="str">
        <f>'DATA US'!C36</f>
        <v>0078597234</v>
      </c>
      <c r="Y61" s="308" t="s">
        <v>1332</v>
      </c>
    </row>
    <row r="62" spans="1:25" ht="15.6">
      <c r="A62" t="str">
        <f>'DATA US'!D37</f>
        <v>MUHAMMAD SATRIA ZAINAL</v>
      </c>
      <c r="B62">
        <f>'DATA US'!B37</f>
        <v>222310022</v>
      </c>
      <c r="C62" s="83" t="s">
        <v>519</v>
      </c>
      <c r="D62" s="84" t="s">
        <v>171</v>
      </c>
      <c r="E62" t="s">
        <v>889</v>
      </c>
      <c r="F62" t="s">
        <v>36</v>
      </c>
      <c r="G62" s="77">
        <v>82.84</v>
      </c>
      <c r="H62" s="77">
        <v>86.58</v>
      </c>
      <c r="I62" s="77">
        <v>88.66</v>
      </c>
      <c r="J62" s="77">
        <v>85.12</v>
      </c>
      <c r="K62" s="77">
        <v>85</v>
      </c>
      <c r="L62" s="77">
        <v>82.56</v>
      </c>
      <c r="M62" s="77">
        <v>82.5</v>
      </c>
      <c r="N62" s="77">
        <v>84.7</v>
      </c>
      <c r="O62" s="77">
        <v>86</v>
      </c>
      <c r="P62" s="77">
        <v>80</v>
      </c>
      <c r="Q62" s="77">
        <v>84</v>
      </c>
      <c r="R62" s="77">
        <v>83.5</v>
      </c>
      <c r="S62" s="77">
        <v>84.1666666666667</v>
      </c>
      <c r="T62" s="77">
        <v>87.525000000000006</v>
      </c>
      <c r="U62" s="77">
        <v>84.974666666666707</v>
      </c>
      <c r="V62" s="77">
        <v>85.433333333333294</v>
      </c>
      <c r="W62" t="str">
        <f>'DATA US'!I37</f>
        <v>ZAINAL ABIDIN</v>
      </c>
      <c r="X62" t="str">
        <f>'DATA US'!C37</f>
        <v>0072510220</v>
      </c>
      <c r="Y62" s="308" t="s">
        <v>1333</v>
      </c>
    </row>
    <row r="63" spans="1:25" ht="15.6">
      <c r="A63" t="str">
        <f>'DATA US'!D90</f>
        <v>MUHAMMAD YUSUF MAULANA</v>
      </c>
      <c r="B63">
        <f>'DATA US'!B90</f>
        <v>222310075</v>
      </c>
      <c r="C63" s="83" t="s">
        <v>519</v>
      </c>
      <c r="D63" s="85" t="s">
        <v>483</v>
      </c>
      <c r="E63" t="s">
        <v>889</v>
      </c>
      <c r="F63" t="s">
        <v>36</v>
      </c>
      <c r="G63" s="77">
        <v>85.17</v>
      </c>
      <c r="H63" s="77">
        <v>86.72</v>
      </c>
      <c r="I63" s="77">
        <v>90.84</v>
      </c>
      <c r="J63" s="77">
        <v>86.8</v>
      </c>
      <c r="K63" s="77">
        <v>87</v>
      </c>
      <c r="L63" s="77">
        <v>90.24</v>
      </c>
      <c r="M63" s="77">
        <v>83</v>
      </c>
      <c r="N63" s="77">
        <v>82.4</v>
      </c>
      <c r="O63" s="77">
        <v>87</v>
      </c>
      <c r="P63" s="77">
        <v>82</v>
      </c>
      <c r="Q63" s="77">
        <v>83</v>
      </c>
      <c r="R63" s="77">
        <v>85</v>
      </c>
      <c r="S63" s="77">
        <v>83.5</v>
      </c>
      <c r="T63" s="77">
        <v>86.025000000000006</v>
      </c>
      <c r="U63" s="77">
        <v>85.4435</v>
      </c>
      <c r="V63" s="77">
        <v>85.4435</v>
      </c>
      <c r="W63" t="str">
        <f>'DATA US'!I90</f>
        <v>OSAN</v>
      </c>
      <c r="X63" t="str">
        <f>'DATA US'!C90</f>
        <v>0061028869</v>
      </c>
      <c r="Y63" s="308" t="s">
        <v>1334</v>
      </c>
    </row>
    <row r="64" spans="1:25" ht="15.6">
      <c r="A64" t="str">
        <f>'DATA US'!D38</f>
        <v>NAUFAL ASAD</v>
      </c>
      <c r="B64">
        <f>'DATA US'!B38</f>
        <v>222310023</v>
      </c>
      <c r="C64" s="83" t="s">
        <v>519</v>
      </c>
      <c r="D64" s="84" t="s">
        <v>177</v>
      </c>
      <c r="E64" t="s">
        <v>889</v>
      </c>
      <c r="F64" t="s">
        <v>36</v>
      </c>
      <c r="G64" s="77">
        <v>86.94</v>
      </c>
      <c r="H64" s="77">
        <v>86.74</v>
      </c>
      <c r="I64" s="77">
        <v>89.59</v>
      </c>
      <c r="J64" s="77">
        <v>83.12</v>
      </c>
      <c r="K64" s="77">
        <v>88.5</v>
      </c>
      <c r="L64" s="77">
        <v>87.28</v>
      </c>
      <c r="M64" s="77">
        <v>83.5</v>
      </c>
      <c r="N64" s="77">
        <v>84.9</v>
      </c>
      <c r="O64" s="77">
        <v>86</v>
      </c>
      <c r="P64" s="77">
        <v>82</v>
      </c>
      <c r="Q64" s="77">
        <v>84.5</v>
      </c>
      <c r="R64" s="77">
        <v>85.5</v>
      </c>
      <c r="S64" s="77">
        <v>80.8333333333333</v>
      </c>
      <c r="T64" s="77">
        <v>85.508333333333297</v>
      </c>
      <c r="U64" s="77">
        <v>84.933499999999995</v>
      </c>
      <c r="V64" s="77">
        <v>85.566666666666706</v>
      </c>
      <c r="W64" t="str">
        <f>'DATA US'!I38</f>
        <v>ABDUL HASSIM</v>
      </c>
      <c r="X64" t="str">
        <f>'DATA US'!C38</f>
        <v>0078400677</v>
      </c>
      <c r="Y64" s="308" t="s">
        <v>1335</v>
      </c>
    </row>
    <row r="65" spans="1:25" ht="15.6">
      <c r="A65" t="str">
        <f>'DATA US'!D39</f>
        <v>PAHRUDIN HIDAYAT</v>
      </c>
      <c r="B65">
        <f>'DATA US'!B39</f>
        <v>222310147</v>
      </c>
      <c r="C65" s="83" t="s">
        <v>519</v>
      </c>
      <c r="D65" s="84" t="s">
        <v>182</v>
      </c>
      <c r="E65" t="s">
        <v>889</v>
      </c>
      <c r="F65" t="s">
        <v>36</v>
      </c>
      <c r="G65" s="77">
        <v>80.98</v>
      </c>
      <c r="H65" s="77">
        <v>80.5</v>
      </c>
      <c r="I65" s="77">
        <v>84.29</v>
      </c>
      <c r="J65" s="77">
        <v>86.74</v>
      </c>
      <c r="K65" s="77">
        <v>76.5</v>
      </c>
      <c r="L65" s="77">
        <v>80.66</v>
      </c>
      <c r="M65" s="77">
        <v>76.5</v>
      </c>
      <c r="N65" s="77">
        <v>82.9</v>
      </c>
      <c r="O65" s="77">
        <v>79</v>
      </c>
      <c r="P65" s="77">
        <v>76.5</v>
      </c>
      <c r="Q65" s="77">
        <v>75.5</v>
      </c>
      <c r="R65" s="77">
        <v>75.5</v>
      </c>
      <c r="S65" s="77">
        <v>75.5</v>
      </c>
      <c r="T65" s="77">
        <v>82.95</v>
      </c>
      <c r="U65" s="77">
        <v>79.866833333333304</v>
      </c>
      <c r="V65" s="77">
        <v>83.466666666666697</v>
      </c>
      <c r="W65" t="str">
        <f>'DATA US'!I39</f>
        <v>NEMAT</v>
      </c>
      <c r="X65" t="str">
        <f>'DATA US'!C39</f>
        <v>0061172472</v>
      </c>
      <c r="Y65" s="308" t="s">
        <v>1336</v>
      </c>
    </row>
    <row r="66" spans="1:25" ht="15.6">
      <c r="A66" t="str">
        <f>'DATA US'!D40</f>
        <v>RAFA ARDIANSYAH</v>
      </c>
      <c r="B66">
        <f>'DATA US'!B40</f>
        <v>222310024</v>
      </c>
      <c r="C66" s="83" t="s">
        <v>519</v>
      </c>
      <c r="D66" s="84" t="s">
        <v>188</v>
      </c>
      <c r="E66" t="s">
        <v>889</v>
      </c>
      <c r="F66" t="s">
        <v>36</v>
      </c>
      <c r="G66" s="77">
        <v>81.48</v>
      </c>
      <c r="H66" s="77">
        <v>80.72</v>
      </c>
      <c r="I66" s="77">
        <v>83.53</v>
      </c>
      <c r="J66" s="77">
        <v>82.96</v>
      </c>
      <c r="K66" s="77">
        <v>80</v>
      </c>
      <c r="L66" s="77">
        <v>80.48</v>
      </c>
      <c r="M66" s="77">
        <v>78</v>
      </c>
      <c r="N66" s="77">
        <v>80.5</v>
      </c>
      <c r="O66" s="77">
        <v>79</v>
      </c>
      <c r="P66" s="77">
        <v>79</v>
      </c>
      <c r="Q66" s="77">
        <v>80</v>
      </c>
      <c r="R66" s="77">
        <v>81.5</v>
      </c>
      <c r="S66" s="77">
        <v>75.3333333333333</v>
      </c>
      <c r="T66" s="77">
        <v>84.15</v>
      </c>
      <c r="U66" s="77">
        <v>80.6101666666667</v>
      </c>
      <c r="V66" s="77">
        <v>82.433333333333294</v>
      </c>
      <c r="W66" t="str">
        <f>'DATA US'!I40</f>
        <v>PURWADU</v>
      </c>
      <c r="X66" t="str">
        <f>'DATA US'!C40</f>
        <v>0071750896</v>
      </c>
      <c r="Y66" s="308" t="s">
        <v>1337</v>
      </c>
    </row>
    <row r="67" spans="1:25" ht="15.6">
      <c r="A67" t="str">
        <f>'DATA US'!D66</f>
        <v>RANGGA TRI AFRIZAL</v>
      </c>
      <c r="B67">
        <f>'DATA US'!B66</f>
        <v>222310050</v>
      </c>
      <c r="C67" s="83" t="s">
        <v>519</v>
      </c>
      <c r="D67" s="84" t="s">
        <v>341</v>
      </c>
      <c r="E67" t="s">
        <v>889</v>
      </c>
      <c r="F67" t="s">
        <v>36</v>
      </c>
      <c r="G67" s="77">
        <v>82.64</v>
      </c>
      <c r="H67" s="77">
        <v>86</v>
      </c>
      <c r="I67" s="77">
        <v>88.4</v>
      </c>
      <c r="J67" s="77">
        <v>88.14</v>
      </c>
      <c r="K67" s="77">
        <v>82</v>
      </c>
      <c r="L67" s="77">
        <v>84.96</v>
      </c>
      <c r="M67" s="77">
        <v>81.5</v>
      </c>
      <c r="N67" s="77">
        <v>86.8</v>
      </c>
      <c r="O67" s="77">
        <v>84</v>
      </c>
      <c r="P67" s="77">
        <v>78.5</v>
      </c>
      <c r="Q67" s="77">
        <v>83.5</v>
      </c>
      <c r="R67" s="77">
        <v>82.5</v>
      </c>
      <c r="S67" s="77">
        <v>82.5</v>
      </c>
      <c r="T67" s="77">
        <v>86.116666666666703</v>
      </c>
      <c r="U67" s="77">
        <v>84.293666666666695</v>
      </c>
      <c r="V67" s="77">
        <v>84.966666666666697</v>
      </c>
      <c r="W67" t="str">
        <f>'DATA US'!I66</f>
        <v>SUHANDI</v>
      </c>
      <c r="X67" t="str">
        <f>'DATA US'!C66</f>
        <v>0067237318</v>
      </c>
      <c r="Y67" s="308" t="s">
        <v>1338</v>
      </c>
    </row>
    <row r="68" spans="1:25" ht="15.6">
      <c r="A68" t="str">
        <f>'DATA US'!D67</f>
        <v>REYHANUDIEN  JUNOS</v>
      </c>
      <c r="B68">
        <f>'DATA US'!B67</f>
        <v>222310051</v>
      </c>
      <c r="C68" s="83" t="s">
        <v>519</v>
      </c>
      <c r="D68" s="85" t="s">
        <v>347</v>
      </c>
      <c r="E68" t="s">
        <v>889</v>
      </c>
      <c r="F68" t="s">
        <v>36</v>
      </c>
      <c r="G68" s="77">
        <v>85.98</v>
      </c>
      <c r="H68" s="77">
        <v>85.78</v>
      </c>
      <c r="I68" s="77">
        <v>89.6</v>
      </c>
      <c r="J68" s="77">
        <v>82.46</v>
      </c>
      <c r="K68" s="77">
        <v>84.5</v>
      </c>
      <c r="L68" s="77">
        <v>83.36</v>
      </c>
      <c r="M68" s="77">
        <v>81.5</v>
      </c>
      <c r="N68" s="77">
        <v>85.2</v>
      </c>
      <c r="O68" s="77">
        <v>84</v>
      </c>
      <c r="P68" s="77">
        <v>78</v>
      </c>
      <c r="Q68" s="77">
        <v>82.5</v>
      </c>
      <c r="R68" s="77">
        <v>82</v>
      </c>
      <c r="S68" s="77">
        <v>81.1666666666667</v>
      </c>
      <c r="T68" s="77">
        <v>83.491666666666703</v>
      </c>
      <c r="U68" s="77">
        <v>83.280666666666704</v>
      </c>
      <c r="V68" s="77">
        <v>83.266666666666694</v>
      </c>
      <c r="W68" t="str">
        <f>'DATA US'!I67</f>
        <v>EDI SURYANA</v>
      </c>
      <c r="X68" t="str">
        <f>'DATA US'!C67</f>
        <v>0074078433</v>
      </c>
      <c r="Y68" s="308" t="s">
        <v>1339</v>
      </c>
    </row>
    <row r="69" spans="1:25" ht="15.6">
      <c r="A69" t="str">
        <f>'DATA US'!D91</f>
        <v>RIFKI ARDIANSYAH</v>
      </c>
      <c r="B69">
        <f>'DATA US'!B91</f>
        <v>222310076</v>
      </c>
      <c r="C69" s="83" t="s">
        <v>900</v>
      </c>
      <c r="D69" s="85" t="s">
        <v>490</v>
      </c>
      <c r="E69" t="s">
        <v>889</v>
      </c>
      <c r="F69" t="s">
        <v>36</v>
      </c>
      <c r="G69" s="77">
        <v>84.85</v>
      </c>
      <c r="H69" s="77">
        <v>85</v>
      </c>
      <c r="I69" s="77">
        <v>88.98</v>
      </c>
      <c r="J69" s="77">
        <v>83.82</v>
      </c>
      <c r="K69" s="77">
        <v>88</v>
      </c>
      <c r="L69" s="77">
        <v>84.4</v>
      </c>
      <c r="M69" s="77">
        <v>82</v>
      </c>
      <c r="N69" s="77">
        <v>87.1</v>
      </c>
      <c r="O69" s="77">
        <v>86.5</v>
      </c>
      <c r="P69" s="77">
        <v>82</v>
      </c>
      <c r="Q69" s="77">
        <v>84</v>
      </c>
      <c r="R69" s="77">
        <v>85</v>
      </c>
      <c r="S69" s="77">
        <v>84.3333333333333</v>
      </c>
      <c r="T69" s="77">
        <v>87.716666666666697</v>
      </c>
      <c r="U69" s="77">
        <v>85.482500000000002</v>
      </c>
      <c r="V69" s="77">
        <v>85.482500000000002</v>
      </c>
      <c r="W69" t="str">
        <f>'DATA US'!I91</f>
        <v>A. DEDY SETIADI</v>
      </c>
      <c r="X69" t="str">
        <f>'DATA US'!C91</f>
        <v>0066062643</v>
      </c>
      <c r="Y69" s="308" t="s">
        <v>1340</v>
      </c>
    </row>
    <row r="70" spans="1:25" ht="15.6">
      <c r="A70" t="str">
        <f>'DATA US'!D68</f>
        <v>RIZKY DWI FIRANSYAH</v>
      </c>
      <c r="B70">
        <f>'DATA US'!B68</f>
        <v>222310052</v>
      </c>
      <c r="C70" s="83" t="s">
        <v>519</v>
      </c>
      <c r="D70" s="85" t="s">
        <v>353</v>
      </c>
      <c r="E70" t="s">
        <v>889</v>
      </c>
      <c r="F70" t="s">
        <v>36</v>
      </c>
      <c r="G70" s="77">
        <v>82.9</v>
      </c>
      <c r="H70" s="77">
        <v>81.599999999999994</v>
      </c>
      <c r="I70" s="77">
        <v>86.76</v>
      </c>
      <c r="J70" s="77">
        <v>81.459999999999994</v>
      </c>
      <c r="K70" s="77">
        <v>83</v>
      </c>
      <c r="L70" s="77">
        <v>83.48</v>
      </c>
      <c r="M70" s="77">
        <v>81</v>
      </c>
      <c r="N70" s="77">
        <v>84.7</v>
      </c>
      <c r="O70" s="77">
        <v>80.5</v>
      </c>
      <c r="P70" s="77">
        <v>77</v>
      </c>
      <c r="Q70" s="77">
        <v>83</v>
      </c>
      <c r="R70" s="77">
        <v>81.5</v>
      </c>
      <c r="S70" s="77">
        <v>80</v>
      </c>
      <c r="T70" s="77">
        <v>83.775000000000006</v>
      </c>
      <c r="U70" s="77">
        <v>82.348333333333301</v>
      </c>
      <c r="V70" s="77">
        <v>84.966666666666697</v>
      </c>
      <c r="W70" t="str">
        <f>'DATA US'!I68</f>
        <v>YADI SURYADI</v>
      </c>
      <c r="X70" t="str">
        <f>'DATA US'!C68</f>
        <v>0076721700</v>
      </c>
      <c r="Y70" s="308" t="s">
        <v>1341</v>
      </c>
    </row>
    <row r="71" spans="1:25" ht="15.6">
      <c r="A71" t="str">
        <f>'DATA US'!D41</f>
        <v>ROY TANSRI ARTAMA</v>
      </c>
      <c r="B71">
        <f>'DATA US'!B41</f>
        <v>222310025</v>
      </c>
      <c r="C71" s="83" t="s">
        <v>893</v>
      </c>
      <c r="D71" s="84" t="s">
        <v>194</v>
      </c>
      <c r="E71" t="s">
        <v>889</v>
      </c>
      <c r="F71" t="s">
        <v>36</v>
      </c>
      <c r="G71" s="77">
        <v>82.1</v>
      </c>
      <c r="H71" s="77">
        <v>84.56</v>
      </c>
      <c r="I71" s="77">
        <v>87.19</v>
      </c>
      <c r="J71" s="77">
        <v>83.62</v>
      </c>
      <c r="K71" s="77">
        <v>76</v>
      </c>
      <c r="L71" s="77">
        <v>80.44</v>
      </c>
      <c r="M71" s="77">
        <v>77.5</v>
      </c>
      <c r="N71" s="77">
        <v>84.1</v>
      </c>
      <c r="O71" s="77">
        <v>78</v>
      </c>
      <c r="P71" s="77">
        <v>78</v>
      </c>
      <c r="Q71" s="77">
        <v>81</v>
      </c>
      <c r="R71" s="77">
        <v>82</v>
      </c>
      <c r="S71" s="77">
        <v>76.3333333333333</v>
      </c>
      <c r="T71" s="77">
        <v>84.633333333333297</v>
      </c>
      <c r="U71" s="77">
        <v>81.280500000000004</v>
      </c>
      <c r="V71" s="77">
        <v>83.566666666666706</v>
      </c>
      <c r="W71" t="str">
        <f>'DATA US'!I41</f>
        <v>SRI YONO</v>
      </c>
      <c r="X71" t="str">
        <f>'DATA US'!C41</f>
        <v>0064628744</v>
      </c>
      <c r="Y71" s="308" t="s">
        <v>1342</v>
      </c>
    </row>
    <row r="72" spans="1:25" ht="15.6">
      <c r="A72" t="str">
        <f>'DATA US'!D69</f>
        <v>SAEPULLOH</v>
      </c>
      <c r="B72">
        <f>'DATA US'!B69</f>
        <v>222310053</v>
      </c>
      <c r="C72" s="83" t="s">
        <v>519</v>
      </c>
      <c r="D72" s="84" t="s">
        <v>359</v>
      </c>
      <c r="E72" t="s">
        <v>889</v>
      </c>
      <c r="F72" t="s">
        <v>36</v>
      </c>
      <c r="G72" s="77">
        <v>83.28</v>
      </c>
      <c r="H72" s="77">
        <v>85.28</v>
      </c>
      <c r="I72" s="77">
        <v>85.9</v>
      </c>
      <c r="J72" s="77">
        <v>88.28</v>
      </c>
      <c r="K72" s="77">
        <v>81</v>
      </c>
      <c r="L72" s="77">
        <v>81.599999999999994</v>
      </c>
      <c r="M72" s="77">
        <v>81</v>
      </c>
      <c r="N72" s="77">
        <v>84.6</v>
      </c>
      <c r="O72" s="77">
        <v>82</v>
      </c>
      <c r="P72" s="77">
        <v>76.5</v>
      </c>
      <c r="Q72" s="77">
        <v>83</v>
      </c>
      <c r="R72" s="77">
        <v>83</v>
      </c>
      <c r="S72" s="77">
        <v>79.3333333333333</v>
      </c>
      <c r="T72" s="77">
        <v>83.991666666666703</v>
      </c>
      <c r="U72" s="77">
        <v>82.611999999999995</v>
      </c>
      <c r="V72" s="77">
        <v>82.8333333333333</v>
      </c>
      <c r="W72" t="str">
        <f>'DATA US'!I69</f>
        <v>IHAD</v>
      </c>
      <c r="X72" t="str">
        <f>'DATA US'!C69</f>
        <v>0061614231</v>
      </c>
      <c r="Y72" s="308" t="s">
        <v>1343</v>
      </c>
    </row>
    <row r="73" spans="1:25" ht="15.6">
      <c r="A73" t="str">
        <f>'DATA US'!D92</f>
        <v>SAIPUL BAHRI</v>
      </c>
      <c r="B73">
        <f>'DATA US'!B92</f>
        <v>222310140</v>
      </c>
      <c r="C73" s="83" t="s">
        <v>519</v>
      </c>
      <c r="D73" s="87" t="s">
        <v>496</v>
      </c>
      <c r="E73" t="s">
        <v>889</v>
      </c>
      <c r="F73" t="s">
        <v>36</v>
      </c>
      <c r="G73" s="77">
        <v>80.930000000000007</v>
      </c>
      <c r="H73" s="77">
        <v>82.68</v>
      </c>
      <c r="I73" s="77">
        <v>83.39</v>
      </c>
      <c r="J73" s="77">
        <v>79.12</v>
      </c>
      <c r="K73" s="77">
        <v>77</v>
      </c>
      <c r="L73" s="77">
        <v>80.12</v>
      </c>
      <c r="M73" s="77">
        <v>79</v>
      </c>
      <c r="N73" s="77">
        <v>84.8</v>
      </c>
      <c r="O73" s="77">
        <v>78</v>
      </c>
      <c r="P73" s="77">
        <v>79</v>
      </c>
      <c r="Q73" s="77">
        <v>80.5</v>
      </c>
      <c r="R73" s="77">
        <v>81</v>
      </c>
      <c r="S73" s="77">
        <v>76.5</v>
      </c>
      <c r="T73" s="77">
        <v>81.533333333333303</v>
      </c>
      <c r="U73" s="77">
        <v>80.195333333333295</v>
      </c>
      <c r="V73" s="77">
        <v>80.195333333333295</v>
      </c>
      <c r="W73" t="str">
        <f>'DATA US'!I92</f>
        <v>ITAN BASUKI</v>
      </c>
      <c r="X73" t="str">
        <f>'DATA US'!C92</f>
        <v>0067092691</v>
      </c>
      <c r="Y73" s="308" t="s">
        <v>1344</v>
      </c>
    </row>
    <row r="74" spans="1:25" ht="15.6">
      <c r="A74" t="str">
        <f>'DATA US'!D93</f>
        <v>SAPRUDIN SANJAYA</v>
      </c>
      <c r="B74">
        <f>'DATA US'!B93</f>
        <v>222310077</v>
      </c>
      <c r="C74" s="83" t="s">
        <v>519</v>
      </c>
      <c r="D74" s="85" t="s">
        <v>502</v>
      </c>
      <c r="E74" t="s">
        <v>889</v>
      </c>
      <c r="F74" t="s">
        <v>36</v>
      </c>
      <c r="G74" s="77">
        <v>83.45</v>
      </c>
      <c r="H74" s="77">
        <v>83.96</v>
      </c>
      <c r="I74" s="77">
        <v>89.83</v>
      </c>
      <c r="J74" s="77">
        <v>81.08</v>
      </c>
      <c r="K74" s="77">
        <v>86</v>
      </c>
      <c r="L74" s="77">
        <v>85.46</v>
      </c>
      <c r="M74" s="77">
        <v>83.5</v>
      </c>
      <c r="N74" s="77">
        <v>84.4</v>
      </c>
      <c r="O74" s="77">
        <v>83</v>
      </c>
      <c r="P74" s="77">
        <v>80</v>
      </c>
      <c r="Q74" s="77">
        <v>83</v>
      </c>
      <c r="R74" s="77">
        <v>84</v>
      </c>
      <c r="S74" s="77">
        <v>81.5</v>
      </c>
      <c r="T74" s="77">
        <v>86.95</v>
      </c>
      <c r="U74" s="77">
        <v>84.213999999999999</v>
      </c>
      <c r="V74" s="77">
        <v>84.213999999999999</v>
      </c>
      <c r="W74" t="str">
        <f>'DATA US'!I93</f>
        <v>GANDIL</v>
      </c>
      <c r="X74" t="str">
        <f>'DATA US'!C93</f>
        <v>0068846668</v>
      </c>
      <c r="Y74" s="308" t="s">
        <v>1345</v>
      </c>
    </row>
    <row r="75" spans="1:25" ht="15.6">
      <c r="A75" t="str">
        <f>'DATA US'!D70</f>
        <v>SARWAN JAYA</v>
      </c>
      <c r="B75">
        <f>'DATA US'!B70</f>
        <v>222310054</v>
      </c>
      <c r="C75" s="83" t="s">
        <v>519</v>
      </c>
      <c r="D75" s="85" t="s">
        <v>365</v>
      </c>
      <c r="E75" t="s">
        <v>889</v>
      </c>
      <c r="F75" t="s">
        <v>36</v>
      </c>
      <c r="G75" s="77">
        <v>85.74</v>
      </c>
      <c r="H75" s="77">
        <v>89.36</v>
      </c>
      <c r="I75" s="77">
        <v>90.52</v>
      </c>
      <c r="J75" s="77">
        <v>92.36</v>
      </c>
      <c r="K75" s="77">
        <v>86</v>
      </c>
      <c r="L75" s="77">
        <v>85.98</v>
      </c>
      <c r="M75" s="77">
        <v>85.5</v>
      </c>
      <c r="N75" s="77">
        <v>87.5</v>
      </c>
      <c r="O75" s="77">
        <v>85.5</v>
      </c>
      <c r="P75" s="77">
        <v>79.5</v>
      </c>
      <c r="Q75" s="77">
        <v>85.5</v>
      </c>
      <c r="R75" s="77">
        <v>85</v>
      </c>
      <c r="S75" s="77">
        <v>83.1666666666667</v>
      </c>
      <c r="T75" s="77">
        <v>88.308333333333294</v>
      </c>
      <c r="U75" s="77">
        <v>86.344666666666697</v>
      </c>
      <c r="V75" s="77">
        <v>85.7</v>
      </c>
      <c r="W75" t="str">
        <f>'DATA US'!I70</f>
        <v>UNAN</v>
      </c>
      <c r="X75" t="str">
        <f>'DATA US'!C70</f>
        <v>0062657633</v>
      </c>
      <c r="Y75" s="308" t="s">
        <v>1346</v>
      </c>
    </row>
    <row r="76" spans="1:25" ht="15.6">
      <c r="A76" t="str">
        <f>'DATA US'!D42</f>
        <v>SATRYO PASHA RAMANDA</v>
      </c>
      <c r="B76">
        <f>'DATA US'!B42</f>
        <v>222310026</v>
      </c>
      <c r="C76" s="83" t="s">
        <v>894</v>
      </c>
      <c r="D76" s="84" t="s">
        <v>201</v>
      </c>
      <c r="E76" t="s">
        <v>889</v>
      </c>
      <c r="F76" t="s">
        <v>36</v>
      </c>
      <c r="G76" s="77">
        <v>83.82</v>
      </c>
      <c r="H76" s="77">
        <v>86.14</v>
      </c>
      <c r="I76" s="77">
        <v>89.44</v>
      </c>
      <c r="J76" s="77">
        <v>87.92</v>
      </c>
      <c r="K76" s="77">
        <v>85</v>
      </c>
      <c r="L76" s="77">
        <v>84.9</v>
      </c>
      <c r="M76" s="77">
        <v>80.5</v>
      </c>
      <c r="N76" s="77">
        <v>81.3</v>
      </c>
      <c r="O76" s="77">
        <v>84.5</v>
      </c>
      <c r="P76" s="77">
        <v>81.5</v>
      </c>
      <c r="Q76" s="77">
        <v>84</v>
      </c>
      <c r="R76" s="77">
        <v>83.5</v>
      </c>
      <c r="S76" s="77">
        <v>80.1666666666667</v>
      </c>
      <c r="T76" s="77">
        <v>86.266666666666694</v>
      </c>
      <c r="U76" s="77">
        <v>84.111000000000004</v>
      </c>
      <c r="V76" s="77">
        <v>84.133333333333297</v>
      </c>
      <c r="W76" t="str">
        <f>'DATA US'!I42</f>
        <v>DWINANTO WIBOWO</v>
      </c>
      <c r="X76" t="str">
        <f>'DATA US'!C42</f>
        <v>0071829562</v>
      </c>
      <c r="Y76" s="308" t="s">
        <v>1347</v>
      </c>
    </row>
    <row r="77" spans="1:25" ht="15.6">
      <c r="A77" t="str">
        <f>'DATA US'!D43</f>
        <v>SOBRIYANTO</v>
      </c>
      <c r="B77">
        <f>'DATA US'!B43</f>
        <v>222310027</v>
      </c>
      <c r="C77" s="83" t="s">
        <v>519</v>
      </c>
      <c r="D77" s="84" t="s">
        <v>159</v>
      </c>
      <c r="E77" t="s">
        <v>889</v>
      </c>
      <c r="F77" t="s">
        <v>36</v>
      </c>
      <c r="G77" s="77">
        <v>85.52</v>
      </c>
      <c r="H77" s="77">
        <v>88.02</v>
      </c>
      <c r="I77" s="77">
        <v>90.45</v>
      </c>
      <c r="J77" s="77">
        <v>89.16</v>
      </c>
      <c r="K77" s="77">
        <v>88.5</v>
      </c>
      <c r="L77" s="77">
        <v>88.92</v>
      </c>
      <c r="M77" s="77">
        <v>83</v>
      </c>
      <c r="N77" s="77">
        <v>83.2</v>
      </c>
      <c r="O77" s="77">
        <v>87.5</v>
      </c>
      <c r="P77" s="77">
        <v>84</v>
      </c>
      <c r="Q77" s="77">
        <v>86</v>
      </c>
      <c r="R77" s="77">
        <v>85</v>
      </c>
      <c r="S77" s="77">
        <v>85</v>
      </c>
      <c r="T77" s="77">
        <v>85.8</v>
      </c>
      <c r="U77" s="77">
        <v>86.170166666666702</v>
      </c>
      <c r="V77" s="77">
        <v>85.933333333333294</v>
      </c>
      <c r="W77" t="str">
        <f>'DATA US'!I43</f>
        <v>IDUT</v>
      </c>
      <c r="X77" t="str">
        <f>'DATA US'!C43</f>
        <v>0078911090</v>
      </c>
      <c r="Y77" s="308" t="s">
        <v>1348</v>
      </c>
    </row>
    <row r="78" spans="1:25" ht="15.6">
      <c r="A78" t="str">
        <f>'DATA US'!D44</f>
        <v>WANA SUMARNA</v>
      </c>
      <c r="B78">
        <f>'DATA US'!B44</f>
        <v>222310028</v>
      </c>
      <c r="C78" s="83" t="s">
        <v>519</v>
      </c>
      <c r="D78" s="84" t="s">
        <v>212</v>
      </c>
      <c r="E78" t="s">
        <v>889</v>
      </c>
      <c r="F78" t="s">
        <v>36</v>
      </c>
      <c r="G78" s="77">
        <v>85.44</v>
      </c>
      <c r="H78" s="77">
        <v>86.34</v>
      </c>
      <c r="I78" s="77">
        <v>89.34</v>
      </c>
      <c r="J78" s="77">
        <v>89.76</v>
      </c>
      <c r="K78" s="77">
        <v>86.5</v>
      </c>
      <c r="L78" s="77">
        <v>84.84</v>
      </c>
      <c r="M78" s="77">
        <v>84</v>
      </c>
      <c r="N78" s="77">
        <v>83.1</v>
      </c>
      <c r="O78" s="77">
        <v>86</v>
      </c>
      <c r="P78" s="77">
        <v>83.5</v>
      </c>
      <c r="Q78" s="77">
        <v>84.5</v>
      </c>
      <c r="R78" s="77">
        <v>84</v>
      </c>
      <c r="S78" s="77">
        <v>83.1666666666667</v>
      </c>
      <c r="T78" s="77">
        <v>85.691666666666706</v>
      </c>
      <c r="U78" s="77">
        <v>85.284333333333294</v>
      </c>
      <c r="V78" s="77">
        <v>86.1</v>
      </c>
      <c r="W78" t="str">
        <f>'DATA US'!I44</f>
        <v>UMAR SUMARNA</v>
      </c>
      <c r="X78" t="str">
        <f>'DATA US'!C44</f>
        <v>0078505225</v>
      </c>
      <c r="Y78" s="308" t="s">
        <v>1349</v>
      </c>
    </row>
    <row r="79" spans="1:25" ht="15.6">
      <c r="A79" t="str">
        <f>'DATA US'!D94</f>
        <v>WARNO DINATA</v>
      </c>
      <c r="B79">
        <f>'DATA US'!B94</f>
        <v>222310078</v>
      </c>
      <c r="C79" s="83" t="s">
        <v>519</v>
      </c>
      <c r="D79" s="84" t="s">
        <v>507</v>
      </c>
      <c r="E79" t="s">
        <v>889</v>
      </c>
      <c r="F79" t="s">
        <v>36</v>
      </c>
      <c r="G79" s="77">
        <v>82.51</v>
      </c>
      <c r="H79" s="77">
        <v>85.08</v>
      </c>
      <c r="I79" s="77">
        <v>88.51</v>
      </c>
      <c r="J79" s="77">
        <v>88.36</v>
      </c>
      <c r="K79" s="77">
        <v>83</v>
      </c>
      <c r="L79" s="77">
        <v>85.82</v>
      </c>
      <c r="M79" s="77">
        <v>83</v>
      </c>
      <c r="N79" s="77">
        <v>81.099999999999994</v>
      </c>
      <c r="O79" s="77">
        <v>81.5</v>
      </c>
      <c r="P79" s="77">
        <v>80</v>
      </c>
      <c r="Q79" s="77">
        <v>82.5</v>
      </c>
      <c r="R79" s="77">
        <v>84</v>
      </c>
      <c r="S79" s="77">
        <v>80.1666666666667</v>
      </c>
      <c r="T79" s="77">
        <v>87.5833333333333</v>
      </c>
      <c r="U79" s="77">
        <v>84.032333333333398</v>
      </c>
      <c r="V79" s="77">
        <v>84.032333333333398</v>
      </c>
      <c r="W79" t="str">
        <f>'DATA US'!I94</f>
        <v>RUDI</v>
      </c>
      <c r="X79" t="str">
        <f>'DATA US'!C94</f>
        <v>0074692256</v>
      </c>
      <c r="Y79" s="308" t="s">
        <v>1350</v>
      </c>
    </row>
    <row r="80" spans="1:25" ht="15.6">
      <c r="A80" t="str">
        <f>'DATA US'!D45</f>
        <v>WISNU BINTANG BERLIAN</v>
      </c>
      <c r="B80">
        <f>'DATA US'!B45</f>
        <v>222310029</v>
      </c>
      <c r="C80" s="83" t="s">
        <v>519</v>
      </c>
      <c r="D80" s="84" t="s">
        <v>218</v>
      </c>
      <c r="E80" t="s">
        <v>889</v>
      </c>
      <c r="F80" t="s">
        <v>36</v>
      </c>
      <c r="G80" s="77">
        <v>82.04</v>
      </c>
      <c r="H80" s="77">
        <v>81.96</v>
      </c>
      <c r="I80" s="77">
        <v>84.14</v>
      </c>
      <c r="J80" s="77">
        <v>87.62</v>
      </c>
      <c r="K80" s="77">
        <v>79</v>
      </c>
      <c r="L80" s="77">
        <v>80.72</v>
      </c>
      <c r="M80" s="77">
        <v>79</v>
      </c>
      <c r="N80" s="77">
        <v>80.8</v>
      </c>
      <c r="O80" s="77">
        <v>79.5</v>
      </c>
      <c r="P80" s="77">
        <v>79</v>
      </c>
      <c r="Q80" s="77">
        <v>81.5</v>
      </c>
      <c r="R80" s="77">
        <v>82.5</v>
      </c>
      <c r="S80" s="77">
        <v>76.8333333333333</v>
      </c>
      <c r="T80" s="77">
        <v>83.35</v>
      </c>
      <c r="U80" s="77">
        <v>81.305666666666696</v>
      </c>
      <c r="V80" s="77">
        <v>84.433333333333294</v>
      </c>
      <c r="W80" t="str">
        <f>'DATA US'!I45</f>
        <v>TOMPUL</v>
      </c>
      <c r="X80" t="str">
        <f>'DATA US'!C45</f>
        <v>0071843924</v>
      </c>
      <c r="Y80" s="308" t="s">
        <v>1351</v>
      </c>
    </row>
    <row r="81" spans="1:25" ht="15.6">
      <c r="A81" t="str">
        <f>'DATA US'!D95</f>
        <v xml:space="preserve">YUSUF  </v>
      </c>
      <c r="B81">
        <f>'DATA US'!B95</f>
        <v>222310079</v>
      </c>
      <c r="C81" s="83" t="s">
        <v>519</v>
      </c>
      <c r="D81" s="85" t="s">
        <v>265</v>
      </c>
      <c r="E81" t="s">
        <v>889</v>
      </c>
      <c r="F81" t="s">
        <v>36</v>
      </c>
      <c r="G81" s="77">
        <v>83.12</v>
      </c>
      <c r="H81" s="77">
        <v>83.58</v>
      </c>
      <c r="I81" s="77">
        <v>87.47</v>
      </c>
      <c r="J81" s="77">
        <v>83.56</v>
      </c>
      <c r="K81" s="77">
        <v>84</v>
      </c>
      <c r="L81" s="77">
        <v>85.36</v>
      </c>
      <c r="M81" s="77">
        <v>82</v>
      </c>
      <c r="N81" s="77">
        <v>84.8</v>
      </c>
      <c r="O81" s="77">
        <v>81.5</v>
      </c>
      <c r="P81" s="77">
        <v>80</v>
      </c>
      <c r="Q81" s="77">
        <v>82</v>
      </c>
      <c r="R81" s="77">
        <v>84</v>
      </c>
      <c r="S81" s="77">
        <v>80.1666666666667</v>
      </c>
      <c r="T81" s="77">
        <v>85.924999999999997</v>
      </c>
      <c r="U81" s="77">
        <v>83.494500000000002</v>
      </c>
      <c r="V81" s="77">
        <v>83.494500000000002</v>
      </c>
      <c r="W81" t="str">
        <f>'DATA US'!I95</f>
        <v>SAROH SARTIKA</v>
      </c>
      <c r="X81" t="str">
        <f>'DATA US'!C95</f>
        <v>0079989890</v>
      </c>
      <c r="Y81" s="308" t="s">
        <v>1353</v>
      </c>
    </row>
    <row r="82" spans="1:25" ht="15.6">
      <c r="A82" t="str">
        <f>'DATA US'!D71</f>
        <v>YUSUF FIRDAUS</v>
      </c>
      <c r="B82">
        <f>'DATA US'!B71</f>
        <v>222310055</v>
      </c>
      <c r="C82" s="83" t="s">
        <v>519</v>
      </c>
      <c r="D82" s="86" t="s">
        <v>370</v>
      </c>
      <c r="E82" t="s">
        <v>889</v>
      </c>
      <c r="F82" t="s">
        <v>36</v>
      </c>
      <c r="G82" s="77">
        <v>84.34</v>
      </c>
      <c r="H82" s="77">
        <v>87.3</v>
      </c>
      <c r="I82" s="77">
        <v>87.64</v>
      </c>
      <c r="J82" s="77">
        <v>87.3</v>
      </c>
      <c r="K82" s="77">
        <v>84.5</v>
      </c>
      <c r="L82" s="77">
        <v>82.72</v>
      </c>
      <c r="M82" s="77">
        <v>82.5</v>
      </c>
      <c r="N82" s="77">
        <v>82.2</v>
      </c>
      <c r="O82" s="77">
        <v>82.5</v>
      </c>
      <c r="P82" s="77">
        <v>80</v>
      </c>
      <c r="Q82" s="77">
        <v>83.5</v>
      </c>
      <c r="R82" s="77">
        <v>83</v>
      </c>
      <c r="S82" s="77">
        <v>80.1666666666667</v>
      </c>
      <c r="T82" s="77">
        <v>85</v>
      </c>
      <c r="U82" s="77">
        <v>83.601666666666702</v>
      </c>
      <c r="V82" s="77">
        <v>84.033333333333303</v>
      </c>
      <c r="W82" t="str">
        <f>'DATA US'!I71</f>
        <v xml:space="preserve">YUDI BIN H SIDIK </v>
      </c>
      <c r="X82" t="str">
        <f>'DATA US'!C71</f>
        <v>0066220245</v>
      </c>
      <c r="Y82" s="308" t="s">
        <v>1352</v>
      </c>
    </row>
    <row r="189" spans="23:23">
      <c r="W189">
        <f>'DATA US'!I202</f>
        <v>0</v>
      </c>
    </row>
    <row r="190" spans="23:23">
      <c r="W190">
        <f>'DATA US'!I203</f>
        <v>0</v>
      </c>
    </row>
    <row r="191" spans="23:23">
      <c r="W191">
        <f>'DATA US'!I204</f>
        <v>0</v>
      </c>
    </row>
    <row r="192" spans="23:23">
      <c r="W192">
        <f>'DATA US'!I205</f>
        <v>0</v>
      </c>
    </row>
    <row r="193" spans="23:23">
      <c r="W193">
        <f>'DATA US'!I206</f>
        <v>0</v>
      </c>
    </row>
    <row r="194" spans="23:23">
      <c r="W194">
        <f>'DATA US'!I207</f>
        <v>0</v>
      </c>
    </row>
    <row r="195" spans="23:23">
      <c r="W195">
        <f>'DATA US'!I208</f>
        <v>0</v>
      </c>
    </row>
    <row r="196" spans="23:23">
      <c r="W196">
        <f>'DATA US'!I209</f>
        <v>0</v>
      </c>
    </row>
    <row r="197" spans="23:23">
      <c r="W197">
        <f>'DATA US'!I210</f>
        <v>0</v>
      </c>
    </row>
    <row r="198" spans="23:23">
      <c r="W198">
        <f>'DATA US'!I211</f>
        <v>0</v>
      </c>
    </row>
    <row r="199" spans="23:23">
      <c r="W199">
        <f>'DATA US'!I212</f>
        <v>0</v>
      </c>
    </row>
    <row r="200" spans="23:23">
      <c r="W200">
        <f>'DATA US'!I213</f>
        <v>0</v>
      </c>
    </row>
    <row r="201" spans="23:23">
      <c r="W201">
        <f>'DATA US'!I214</f>
        <v>0</v>
      </c>
    </row>
    <row r="202" spans="23:23">
      <c r="W202">
        <f>'DATA US'!I215</f>
        <v>0</v>
      </c>
    </row>
    <row r="203" spans="23:23">
      <c r="W203">
        <f>'DATA US'!I216</f>
        <v>0</v>
      </c>
    </row>
    <row r="204" spans="23:23">
      <c r="W204">
        <f>'DATA US'!I217</f>
        <v>0</v>
      </c>
    </row>
    <row r="205" spans="23:23">
      <c r="W205">
        <f>'DATA US'!I218</f>
        <v>0</v>
      </c>
    </row>
    <row r="206" spans="23:23">
      <c r="W206">
        <f>'DATA US'!I219</f>
        <v>0</v>
      </c>
    </row>
    <row r="207" spans="23:23">
      <c r="W207">
        <f>'DATA US'!I220</f>
        <v>0</v>
      </c>
    </row>
    <row r="208" spans="23:23">
      <c r="W208">
        <f>'DATA US'!I221</f>
        <v>0</v>
      </c>
    </row>
    <row r="209" spans="23:23">
      <c r="W209">
        <f>'DATA US'!I222</f>
        <v>0</v>
      </c>
    </row>
    <row r="210" spans="23:23">
      <c r="W210">
        <f>'DATA US'!I223</f>
        <v>0</v>
      </c>
    </row>
    <row r="211" spans="23:23">
      <c r="W211">
        <f>'DATA US'!I224</f>
        <v>0</v>
      </c>
    </row>
    <row r="212" spans="23:23">
      <c r="W212">
        <f>'DATA US'!I225</f>
        <v>0</v>
      </c>
    </row>
    <row r="213" spans="23:23">
      <c r="W213">
        <f>'DATA US'!I226</f>
        <v>0</v>
      </c>
    </row>
    <row r="214" spans="23:23">
      <c r="W214">
        <f>'DATA US'!I227</f>
        <v>0</v>
      </c>
    </row>
    <row r="215" spans="23:23">
      <c r="W215">
        <f>'DATA US'!I228</f>
        <v>0</v>
      </c>
    </row>
    <row r="216" spans="23:23">
      <c r="W216">
        <f>'DATA US'!I229</f>
        <v>0</v>
      </c>
    </row>
    <row r="217" spans="23:23">
      <c r="W217">
        <f>'DATA US'!I230</f>
        <v>0</v>
      </c>
    </row>
    <row r="218" spans="23:23">
      <c r="W218">
        <f>'DATA US'!I231</f>
        <v>0</v>
      </c>
    </row>
    <row r="219" spans="23:23">
      <c r="W219">
        <f>'DATA US'!I232</f>
        <v>0</v>
      </c>
    </row>
    <row r="220" spans="23:23">
      <c r="W220">
        <f>'DATA US'!I233</f>
        <v>0</v>
      </c>
    </row>
    <row r="221" spans="23:23">
      <c r="W221">
        <f>'DATA US'!I234</f>
        <v>0</v>
      </c>
    </row>
    <row r="222" spans="23:23">
      <c r="W222">
        <f>'DATA US'!I235</f>
        <v>0</v>
      </c>
    </row>
    <row r="223" spans="23:23">
      <c r="W223">
        <f>'DATA US'!I236</f>
        <v>0</v>
      </c>
    </row>
    <row r="224" spans="23:23">
      <c r="W224">
        <f>'DATA US'!I237</f>
        <v>0</v>
      </c>
    </row>
    <row r="225" spans="23:23">
      <c r="W225">
        <f>'DATA US'!I238</f>
        <v>0</v>
      </c>
    </row>
    <row r="226" spans="23:23">
      <c r="W226">
        <f>'DATA US'!I239</f>
        <v>0</v>
      </c>
    </row>
    <row r="227" spans="23:23">
      <c r="W227">
        <f>'DATA US'!I240</f>
        <v>0</v>
      </c>
    </row>
    <row r="228" spans="23:23">
      <c r="W228">
        <f>'DATA US'!I241</f>
        <v>0</v>
      </c>
    </row>
    <row r="229" spans="23:23">
      <c r="W229">
        <f>'DATA US'!I242</f>
        <v>0</v>
      </c>
    </row>
    <row r="230" spans="23:23">
      <c r="W230">
        <f>'DATA US'!I243</f>
        <v>0</v>
      </c>
    </row>
    <row r="231" spans="23:23">
      <c r="W231">
        <f>'DATA US'!I244</f>
        <v>0</v>
      </c>
    </row>
    <row r="232" spans="23:23">
      <c r="W232">
        <f>'DATA US'!I245</f>
        <v>0</v>
      </c>
    </row>
    <row r="233" spans="23:23">
      <c r="W233">
        <f>'DATA US'!I246</f>
        <v>0</v>
      </c>
    </row>
    <row r="234" spans="23:23">
      <c r="W234">
        <f>'DATA US'!I247</f>
        <v>0</v>
      </c>
    </row>
    <row r="235" spans="23:23">
      <c r="W235">
        <f>'DATA US'!I248</f>
        <v>0</v>
      </c>
    </row>
    <row r="236" spans="23:23">
      <c r="W236">
        <f>'DATA US'!I249</f>
        <v>0</v>
      </c>
    </row>
    <row r="237" spans="23:23">
      <c r="W237">
        <f>'DATA US'!I250</f>
        <v>0</v>
      </c>
    </row>
    <row r="238" spans="23:23">
      <c r="W238">
        <f>'DATA US'!I251</f>
        <v>0</v>
      </c>
    </row>
    <row r="239" spans="23:23">
      <c r="W239">
        <f>'DATA US'!I252</f>
        <v>0</v>
      </c>
    </row>
    <row r="240" spans="23:23">
      <c r="W240">
        <f>'DATA US'!I253</f>
        <v>0</v>
      </c>
    </row>
    <row r="241" spans="23:23">
      <c r="W241">
        <f>'DATA US'!I254</f>
        <v>0</v>
      </c>
    </row>
    <row r="242" spans="23:23">
      <c r="W242">
        <f>'DATA US'!I255</f>
        <v>0</v>
      </c>
    </row>
    <row r="243" spans="23:23">
      <c r="W243">
        <f>'DATA US'!I256</f>
        <v>0</v>
      </c>
    </row>
    <row r="244" spans="23:23">
      <c r="W244">
        <f>'DATA US'!I257</f>
        <v>0</v>
      </c>
    </row>
    <row r="245" spans="23:23">
      <c r="W245">
        <f>'DATA US'!I258</f>
        <v>0</v>
      </c>
    </row>
    <row r="246" spans="23:23">
      <c r="W246">
        <f>'DATA US'!I259</f>
        <v>0</v>
      </c>
    </row>
    <row r="247" spans="23:23">
      <c r="W247">
        <f>'DATA US'!I260</f>
        <v>0</v>
      </c>
    </row>
    <row r="248" spans="23:23">
      <c r="W248">
        <f>'DATA US'!I261</f>
        <v>0</v>
      </c>
    </row>
    <row r="249" spans="23:23">
      <c r="W249">
        <f>'DATA US'!I262</f>
        <v>0</v>
      </c>
    </row>
    <row r="250" spans="23:23">
      <c r="W250">
        <f>'DATA US'!I263</f>
        <v>0</v>
      </c>
    </row>
    <row r="251" spans="23:23">
      <c r="W251">
        <f>'DATA US'!I264</f>
        <v>0</v>
      </c>
    </row>
    <row r="252" spans="23:23">
      <c r="W252">
        <f>'DATA US'!I265</f>
        <v>0</v>
      </c>
    </row>
    <row r="253" spans="23:23">
      <c r="W253">
        <f>'DATA US'!I266</f>
        <v>0</v>
      </c>
    </row>
    <row r="254" spans="23:23">
      <c r="W254">
        <f>'DATA US'!I267</f>
        <v>0</v>
      </c>
    </row>
    <row r="255" spans="23:23">
      <c r="W255">
        <f>'DATA US'!I268</f>
        <v>0</v>
      </c>
    </row>
    <row r="256" spans="23:23">
      <c r="W256">
        <f>'DATA US'!I269</f>
        <v>0</v>
      </c>
    </row>
    <row r="257" spans="23:23">
      <c r="W257">
        <f>'DATA US'!I270</f>
        <v>0</v>
      </c>
    </row>
    <row r="258" spans="23:23">
      <c r="W258">
        <f>'DATA US'!I271</f>
        <v>0</v>
      </c>
    </row>
    <row r="259" spans="23:23">
      <c r="W259">
        <f>'DATA US'!I272</f>
        <v>0</v>
      </c>
    </row>
    <row r="260" spans="23:23">
      <c r="W260">
        <f>'DATA US'!I273</f>
        <v>0</v>
      </c>
    </row>
    <row r="261" spans="23:23">
      <c r="W261">
        <f>'DATA US'!I274</f>
        <v>0</v>
      </c>
    </row>
  </sheetData>
  <sortState xmlns:xlrd2="http://schemas.microsoft.com/office/spreadsheetml/2017/richdata2" ref="A2:Y261">
    <sortCondition ref="A1:A2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3"/>
  <sheetViews>
    <sheetView workbookViewId="0">
      <selection activeCell="G7" sqref="G7"/>
    </sheetView>
  </sheetViews>
  <sheetFormatPr defaultColWidth="9" defaultRowHeight="14.4"/>
  <cols>
    <col min="3" max="3" width="39.44140625" customWidth="1"/>
    <col min="4" max="8" width="20.6640625" customWidth="1"/>
    <col min="25" max="25" width="23.77734375" customWidth="1"/>
  </cols>
  <sheetData>
    <row r="1" spans="1:27" s="51" customFormat="1" ht="84" customHeight="1">
      <c r="A1" s="52" t="s">
        <v>901</v>
      </c>
      <c r="B1" s="53" t="s">
        <v>902</v>
      </c>
      <c r="C1" s="54" t="s">
        <v>867</v>
      </c>
      <c r="D1" s="55" t="s">
        <v>27</v>
      </c>
      <c r="E1" s="55" t="s">
        <v>868</v>
      </c>
      <c r="F1" s="55" t="s">
        <v>869</v>
      </c>
      <c r="G1" s="54" t="s">
        <v>870</v>
      </c>
      <c r="H1" s="54" t="s">
        <v>871</v>
      </c>
      <c r="I1" s="69" t="s">
        <v>872</v>
      </c>
      <c r="J1" s="69" t="s">
        <v>873</v>
      </c>
      <c r="K1" s="70" t="s">
        <v>874</v>
      </c>
      <c r="L1" s="71" t="s">
        <v>875</v>
      </c>
      <c r="M1" s="71" t="s">
        <v>876</v>
      </c>
      <c r="N1" s="71" t="s">
        <v>877</v>
      </c>
      <c r="O1" s="71" t="s">
        <v>878</v>
      </c>
      <c r="P1" s="71" t="s">
        <v>879</v>
      </c>
      <c r="Q1" s="71" t="s">
        <v>880</v>
      </c>
      <c r="R1" s="71" t="s">
        <v>881</v>
      </c>
      <c r="S1" s="71" t="s">
        <v>882</v>
      </c>
      <c r="T1" s="71" t="s">
        <v>883</v>
      </c>
      <c r="U1" s="71" t="s">
        <v>884</v>
      </c>
      <c r="V1" s="71" t="s">
        <v>885</v>
      </c>
      <c r="W1" s="71" t="s">
        <v>886</v>
      </c>
      <c r="X1" s="71" t="s">
        <v>887</v>
      </c>
      <c r="Y1" s="71" t="s">
        <v>903</v>
      </c>
      <c r="Z1" s="79" t="s">
        <v>28</v>
      </c>
      <c r="AA1" s="51" t="s">
        <v>1354</v>
      </c>
    </row>
    <row r="2" spans="1:27" s="51" customFormat="1" ht="14.25" customHeight="1">
      <c r="A2" s="309"/>
      <c r="B2" s="310"/>
      <c r="C2" s="58">
        <f>'DATA US'!D158</f>
        <v>0</v>
      </c>
      <c r="D2" s="312"/>
      <c r="E2" s="312"/>
      <c r="F2" s="312"/>
      <c r="G2" s="319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/>
      <c r="Y2" s="59">
        <f>'DATA US'!I158</f>
        <v>0</v>
      </c>
      <c r="Z2" s="59">
        <f>'DATA US'!C158</f>
        <v>0</v>
      </c>
    </row>
    <row r="3" spans="1:27" s="51" customFormat="1" ht="14.25" customHeight="1">
      <c r="A3" s="56">
        <v>1</v>
      </c>
      <c r="B3" s="314"/>
      <c r="C3" s="58" t="str">
        <f>'DATA US'!D129</f>
        <v>ABI MAULANA CHANDRA</v>
      </c>
      <c r="D3" s="58">
        <f>'DATA US'!B129</f>
        <v>222310110</v>
      </c>
      <c r="E3" s="61" t="str">
        <f>'DATA US'!F129</f>
        <v>Bekasi</v>
      </c>
      <c r="F3" s="62" t="str">
        <f>'DATA US'!G129</f>
        <v>20 November 2006</v>
      </c>
      <c r="G3" s="63" t="s">
        <v>904</v>
      </c>
      <c r="H3" s="64" t="str">
        <f>'DATA US'!E129</f>
        <v>L</v>
      </c>
      <c r="I3" s="72">
        <v>86.51</v>
      </c>
      <c r="J3" s="72">
        <v>88.54</v>
      </c>
      <c r="K3" s="72">
        <v>90.76</v>
      </c>
      <c r="L3" s="72">
        <v>93.495000000000005</v>
      </c>
      <c r="M3" s="72">
        <v>88</v>
      </c>
      <c r="N3" s="72">
        <v>88.68</v>
      </c>
      <c r="O3" s="72">
        <v>85</v>
      </c>
      <c r="P3" s="72">
        <v>83.1</v>
      </c>
      <c r="Q3" s="72">
        <v>86</v>
      </c>
      <c r="R3" s="72">
        <v>84</v>
      </c>
      <c r="S3" s="72">
        <v>87.5</v>
      </c>
      <c r="T3" s="74">
        <v>87</v>
      </c>
      <c r="U3" s="74">
        <v>89.6666666666667</v>
      </c>
      <c r="V3" s="74">
        <v>90.058666666666696</v>
      </c>
      <c r="W3" s="74">
        <v>88.262142857142805</v>
      </c>
      <c r="X3" s="75">
        <v>85.626666666666694</v>
      </c>
      <c r="Y3" s="59" t="str">
        <f>'DATA US'!I129</f>
        <v>CHANDRA</v>
      </c>
      <c r="Z3" s="59" t="str">
        <f>'DATA US'!C129</f>
        <v>0064926120</v>
      </c>
      <c r="AA3" s="327" t="s">
        <v>1355</v>
      </c>
    </row>
    <row r="4" spans="1:27" s="51" customFormat="1" ht="14.25" customHeight="1">
      <c r="A4" s="56">
        <v>2</v>
      </c>
      <c r="B4" s="314"/>
      <c r="C4" s="58" t="str">
        <f>'DATA US'!D130</f>
        <v>ADITYA AL MUJAKI</v>
      </c>
      <c r="D4" s="58">
        <f>'DATA US'!B130</f>
        <v>222310111</v>
      </c>
      <c r="E4" s="61" t="str">
        <f>'DATA US'!F130</f>
        <v>Bekasi</v>
      </c>
      <c r="F4" s="62" t="str">
        <f>'DATA US'!G130</f>
        <v>11 November 2006</v>
      </c>
      <c r="G4" s="63" t="s">
        <v>904</v>
      </c>
      <c r="H4" s="64" t="str">
        <f>'DATA US'!E130</f>
        <v>L</v>
      </c>
      <c r="I4" s="72">
        <v>84.94</v>
      </c>
      <c r="J4" s="72">
        <v>84.05</v>
      </c>
      <c r="K4" s="72">
        <v>87.88</v>
      </c>
      <c r="L4" s="72">
        <v>85.51</v>
      </c>
      <c r="M4" s="72">
        <v>84</v>
      </c>
      <c r="N4" s="72">
        <v>84.84</v>
      </c>
      <c r="O4" s="72">
        <v>81.5</v>
      </c>
      <c r="P4" s="72">
        <v>83.1</v>
      </c>
      <c r="Q4" s="72">
        <v>83.5</v>
      </c>
      <c r="R4" s="72">
        <v>79</v>
      </c>
      <c r="S4" s="72">
        <v>83</v>
      </c>
      <c r="T4" s="74">
        <v>83</v>
      </c>
      <c r="U4" s="74">
        <v>80.6666666666667</v>
      </c>
      <c r="V4" s="74">
        <v>83.603333333266704</v>
      </c>
      <c r="W4" s="74">
        <v>83.207301587285698</v>
      </c>
      <c r="X4" s="75">
        <v>83.016666666666694</v>
      </c>
      <c r="Y4" s="59" t="str">
        <f>'DATA US'!I130</f>
        <v xml:space="preserve">SAMAN HERMAWAN </v>
      </c>
      <c r="Z4" s="59" t="str">
        <f>'DATA US'!C130</f>
        <v>0061201721</v>
      </c>
      <c r="AA4" s="308" t="s">
        <v>1356</v>
      </c>
    </row>
    <row r="5" spans="1:27" s="51" customFormat="1" ht="14.25" customHeight="1">
      <c r="A5" s="56">
        <v>3</v>
      </c>
      <c r="B5" s="57"/>
      <c r="C5" s="58" t="str">
        <f>'DATA US'!D97</f>
        <v>AMANDA DWI LESTARI</v>
      </c>
      <c r="D5" s="58">
        <f>'DATA US'!B97</f>
        <v>222310080</v>
      </c>
      <c r="E5" s="61" t="str">
        <f>'DATA US'!F97</f>
        <v>Bekasi</v>
      </c>
      <c r="F5" s="62" t="str">
        <f>'DATA US'!G97</f>
        <v xml:space="preserve"> 19 Oktober 2007</v>
      </c>
      <c r="G5" s="63" t="s">
        <v>904</v>
      </c>
      <c r="H5" s="64" t="str">
        <f>'DATA US'!E97</f>
        <v>P</v>
      </c>
      <c r="I5" s="72">
        <v>84.27</v>
      </c>
      <c r="J5" s="72">
        <v>84.64</v>
      </c>
      <c r="K5" s="72">
        <v>87.05</v>
      </c>
      <c r="L5" s="72">
        <v>90.454999999999998</v>
      </c>
      <c r="M5" s="72">
        <v>85</v>
      </c>
      <c r="N5" s="72">
        <v>86.13</v>
      </c>
      <c r="O5" s="72">
        <v>82</v>
      </c>
      <c r="P5" s="72">
        <v>81.900000000000006</v>
      </c>
      <c r="Q5" s="72">
        <v>82.5</v>
      </c>
      <c r="R5" s="72">
        <v>79.5</v>
      </c>
      <c r="S5" s="72">
        <v>84</v>
      </c>
      <c r="T5" s="74">
        <v>84</v>
      </c>
      <c r="U5" s="74">
        <v>85</v>
      </c>
      <c r="V5" s="74">
        <v>86.093333333333305</v>
      </c>
      <c r="W5" s="74">
        <v>84.815119047619007</v>
      </c>
      <c r="X5" s="75">
        <v>84.205833333333302</v>
      </c>
      <c r="Y5" s="59" t="str">
        <f>'DATA US'!I97</f>
        <v>INDA HERMAWAN</v>
      </c>
      <c r="Z5" s="59" t="str">
        <f>'DATA US'!C97</f>
        <v>3070905598</v>
      </c>
      <c r="AA5" s="308" t="s">
        <v>1357</v>
      </c>
    </row>
    <row r="6" spans="1:27" s="51" customFormat="1" ht="14.25" customHeight="1">
      <c r="A6" s="56">
        <v>4</v>
      </c>
      <c r="B6" s="314"/>
      <c r="C6" s="58" t="str">
        <f>'DATA US'!D131</f>
        <v>AMELIA</v>
      </c>
      <c r="D6" s="58">
        <f>'DATA US'!B131</f>
        <v>222310113</v>
      </c>
      <c r="E6" s="61" t="str">
        <f>'DATA US'!F131</f>
        <v>Bekasi</v>
      </c>
      <c r="F6" s="62" t="str">
        <f>'DATA US'!G131</f>
        <v>1 Juli 2007</v>
      </c>
      <c r="G6" s="63" t="s">
        <v>904</v>
      </c>
      <c r="H6" s="64" t="str">
        <f>'DATA US'!E131</f>
        <v>P</v>
      </c>
      <c r="I6" s="72">
        <v>83.5</v>
      </c>
      <c r="J6" s="72">
        <v>85.5</v>
      </c>
      <c r="K6" s="72">
        <v>86</v>
      </c>
      <c r="L6" s="72">
        <v>85.16</v>
      </c>
      <c r="M6" s="72">
        <v>84.5</v>
      </c>
      <c r="N6" s="72">
        <v>86.71</v>
      </c>
      <c r="O6" s="72">
        <v>80.5</v>
      </c>
      <c r="P6" s="72">
        <v>83.1</v>
      </c>
      <c r="Q6" s="72">
        <v>83</v>
      </c>
      <c r="R6" s="72">
        <v>79.5</v>
      </c>
      <c r="S6" s="72">
        <v>82</v>
      </c>
      <c r="T6" s="74">
        <v>81</v>
      </c>
      <c r="U6" s="74">
        <v>83</v>
      </c>
      <c r="V6" s="74">
        <v>82.834000000000003</v>
      </c>
      <c r="W6" s="74">
        <v>83.228492063492098</v>
      </c>
      <c r="X6" s="75">
        <v>84.158333333333303</v>
      </c>
      <c r="Y6" s="59" t="str">
        <f>'DATA US'!I131</f>
        <v xml:space="preserve">NIAN </v>
      </c>
      <c r="Z6" s="59" t="str">
        <f>'DATA US'!C131</f>
        <v>0073563861</v>
      </c>
      <c r="AA6" s="308" t="s">
        <v>1358</v>
      </c>
    </row>
    <row r="7" spans="1:27" s="51" customFormat="1" ht="14.25" customHeight="1">
      <c r="A7" s="56">
        <v>5</v>
      </c>
      <c r="B7" s="57"/>
      <c r="C7" s="58" t="str">
        <f>'DATA US'!D98</f>
        <v>ANA AZIZAH</v>
      </c>
      <c r="D7" s="58">
        <f>'DATA US'!B98</f>
        <v>222310081</v>
      </c>
      <c r="E7" s="61" t="str">
        <f>'DATA US'!F98</f>
        <v>Bekasi</v>
      </c>
      <c r="F7" s="62" t="str">
        <f>'DATA US'!G98</f>
        <v>12 Desember 2007</v>
      </c>
      <c r="G7" s="63" t="s">
        <v>904</v>
      </c>
      <c r="H7" s="64" t="str">
        <f>'DATA US'!E98</f>
        <v>P</v>
      </c>
      <c r="I7" s="72">
        <v>84.3</v>
      </c>
      <c r="J7" s="72">
        <v>83.52</v>
      </c>
      <c r="K7" s="72">
        <v>87.12</v>
      </c>
      <c r="L7" s="72">
        <v>89.724999999999994</v>
      </c>
      <c r="M7" s="72">
        <v>86</v>
      </c>
      <c r="N7" s="72">
        <v>87.68</v>
      </c>
      <c r="O7" s="72">
        <v>82.5</v>
      </c>
      <c r="P7" s="72">
        <v>82.4</v>
      </c>
      <c r="Q7" s="72">
        <v>82.5</v>
      </c>
      <c r="R7" s="72">
        <v>78.5</v>
      </c>
      <c r="S7" s="72">
        <v>84</v>
      </c>
      <c r="T7" s="74">
        <v>83</v>
      </c>
      <c r="U7" s="74">
        <v>83</v>
      </c>
      <c r="V7" s="74">
        <v>86.349333333333306</v>
      </c>
      <c r="W7" s="74">
        <v>84.625039682539693</v>
      </c>
      <c r="X7" s="75">
        <v>85.134166666666701</v>
      </c>
      <c r="Y7" s="59" t="str">
        <f>'DATA US'!I98</f>
        <v>SAANIN</v>
      </c>
      <c r="Z7" s="59" t="str">
        <f>'DATA US'!C98</f>
        <v>0074408442</v>
      </c>
      <c r="AA7" s="308" t="s">
        <v>1359</v>
      </c>
    </row>
    <row r="8" spans="1:27" s="51" customFormat="1" ht="14.25" customHeight="1">
      <c r="A8" s="56">
        <v>6</v>
      </c>
      <c r="B8" s="314"/>
      <c r="C8" s="58" t="str">
        <f>'DATA US'!D132</f>
        <v>AQILA QEISHA RAHMADANI</v>
      </c>
      <c r="D8" s="58">
        <f>'DATA US'!B132</f>
        <v>222310114</v>
      </c>
      <c r="E8" s="61" t="str">
        <f>'DATA US'!F132</f>
        <v>Bekasi</v>
      </c>
      <c r="F8" s="62" t="str">
        <f>'DATA US'!G132</f>
        <v>29 September 2007</v>
      </c>
      <c r="G8" s="63" t="s">
        <v>904</v>
      </c>
      <c r="H8" s="64" t="str">
        <f>'DATA US'!E132</f>
        <v>P</v>
      </c>
      <c r="I8" s="72">
        <v>84.48</v>
      </c>
      <c r="J8" s="72">
        <v>85.4</v>
      </c>
      <c r="K8" s="72">
        <v>87.1</v>
      </c>
      <c r="L8" s="72">
        <v>85.39</v>
      </c>
      <c r="M8" s="72">
        <v>85</v>
      </c>
      <c r="N8" s="72">
        <v>82.5</v>
      </c>
      <c r="O8" s="72">
        <v>81.5</v>
      </c>
      <c r="P8" s="72">
        <v>83.1</v>
      </c>
      <c r="Q8" s="72">
        <v>85</v>
      </c>
      <c r="R8" s="72">
        <v>79</v>
      </c>
      <c r="S8" s="72">
        <v>81.5</v>
      </c>
      <c r="T8" s="74">
        <v>81</v>
      </c>
      <c r="U8" s="74">
        <v>83.8333333333333</v>
      </c>
      <c r="V8" s="74">
        <v>83.090666666666706</v>
      </c>
      <c r="W8" s="74">
        <v>83.351984126984107</v>
      </c>
      <c r="X8" s="75">
        <v>82.468333333333305</v>
      </c>
      <c r="Y8" s="59" t="str">
        <f>'DATA US'!I132</f>
        <v>AHMAD BAEHAQI</v>
      </c>
      <c r="Z8" s="59" t="str">
        <f>'DATA US'!C132</f>
        <v>0072459941</v>
      </c>
      <c r="AA8" s="308" t="s">
        <v>1360</v>
      </c>
    </row>
    <row r="9" spans="1:27" s="51" customFormat="1" ht="14.25" customHeight="1">
      <c r="A9" s="56">
        <v>7</v>
      </c>
      <c r="B9" s="314"/>
      <c r="C9" s="58" t="str">
        <f>'DATA US'!D133</f>
        <v>AYU PUTRI NEGARI</v>
      </c>
      <c r="D9" s="58">
        <f>'DATA US'!B133</f>
        <v>222310115</v>
      </c>
      <c r="E9" s="61" t="str">
        <f>'DATA US'!F133</f>
        <v>Bekasi</v>
      </c>
      <c r="F9" s="62" t="str">
        <f>'DATA US'!G133</f>
        <v xml:space="preserve"> 18 September 2008</v>
      </c>
      <c r="G9" s="63" t="s">
        <v>904</v>
      </c>
      <c r="H9" s="64" t="str">
        <f>'DATA US'!E133</f>
        <v>P</v>
      </c>
      <c r="I9" s="72">
        <v>84.04</v>
      </c>
      <c r="J9" s="72">
        <v>85.9</v>
      </c>
      <c r="K9" s="72">
        <v>86.4</v>
      </c>
      <c r="L9" s="72">
        <v>82.594999999999999</v>
      </c>
      <c r="M9" s="72">
        <v>84.5</v>
      </c>
      <c r="N9" s="72">
        <v>88.42</v>
      </c>
      <c r="O9" s="72">
        <v>81</v>
      </c>
      <c r="P9" s="72">
        <v>83.1</v>
      </c>
      <c r="Q9" s="72">
        <v>84</v>
      </c>
      <c r="R9" s="72">
        <v>79.5</v>
      </c>
      <c r="S9" s="72">
        <v>81.5</v>
      </c>
      <c r="T9" s="74">
        <v>81</v>
      </c>
      <c r="U9" s="74">
        <v>83.8333333333333</v>
      </c>
      <c r="V9" s="74">
        <v>83.128666666666703</v>
      </c>
      <c r="W9" s="74">
        <v>83.420634920634896</v>
      </c>
      <c r="X9" s="75">
        <v>82.734999999999999</v>
      </c>
      <c r="Y9" s="59" t="str">
        <f>'DATA US'!I133</f>
        <v xml:space="preserve">MARZUKIH </v>
      </c>
      <c r="Z9" s="59" t="str">
        <f>'DATA US'!C133</f>
        <v>0064002542</v>
      </c>
      <c r="AA9" s="308" t="s">
        <v>1361</v>
      </c>
    </row>
    <row r="10" spans="1:27" s="51" customFormat="1" ht="14.25" customHeight="1">
      <c r="A10" s="56">
        <v>8</v>
      </c>
      <c r="B10" s="57"/>
      <c r="C10" s="58" t="str">
        <f>'DATA US'!D99</f>
        <v>BANU BUKHORI</v>
      </c>
      <c r="D10" s="58">
        <f>'DATA US'!B99</f>
        <v>222310082</v>
      </c>
      <c r="E10" s="61" t="str">
        <f>'DATA US'!F99</f>
        <v>Bekasi</v>
      </c>
      <c r="F10" s="62" t="str">
        <f>'DATA US'!G99</f>
        <v>5 Februari 2007</v>
      </c>
      <c r="G10" s="63" t="s">
        <v>904</v>
      </c>
      <c r="H10" s="64" t="str">
        <f>'DATA US'!E99</f>
        <v>P</v>
      </c>
      <c r="I10" s="72">
        <v>86.38</v>
      </c>
      <c r="J10" s="72">
        <v>86.3</v>
      </c>
      <c r="K10" s="72">
        <v>90.1</v>
      </c>
      <c r="L10" s="72">
        <v>89.584999999999994</v>
      </c>
      <c r="M10" s="72">
        <v>88</v>
      </c>
      <c r="N10" s="72">
        <v>91.82</v>
      </c>
      <c r="O10" s="72">
        <v>83.5</v>
      </c>
      <c r="P10" s="72">
        <v>88.6</v>
      </c>
      <c r="Q10" s="72">
        <v>85</v>
      </c>
      <c r="R10" s="72">
        <v>83.5</v>
      </c>
      <c r="S10" s="72">
        <v>83.5</v>
      </c>
      <c r="T10" s="74">
        <v>83.5</v>
      </c>
      <c r="U10" s="74">
        <v>83.6666666666667</v>
      </c>
      <c r="V10" s="74">
        <v>86.656000000000006</v>
      </c>
      <c r="W10" s="74">
        <v>86.198253968253994</v>
      </c>
      <c r="X10" s="75">
        <v>86.098333333333301</v>
      </c>
      <c r="Y10" s="59" t="str">
        <f>'DATA US'!I99</f>
        <v>MARYONO</v>
      </c>
      <c r="Z10" s="59" t="str">
        <f>'DATA US'!C99</f>
        <v>0079089656</v>
      </c>
      <c r="AA10" s="308" t="s">
        <v>1362</v>
      </c>
    </row>
    <row r="11" spans="1:27" s="51" customFormat="1" ht="14.25" customHeight="1">
      <c r="A11" s="56">
        <v>9</v>
      </c>
      <c r="B11" s="310"/>
      <c r="C11" s="58" t="str">
        <f>'DATA US'!D134</f>
        <v>DAFA ADITYA PUTRA</v>
      </c>
      <c r="D11" s="58">
        <f>'DATA US'!B134</f>
        <v>222310116</v>
      </c>
      <c r="E11" s="61" t="str">
        <f>'DATA US'!F134</f>
        <v>Bekasi</v>
      </c>
      <c r="F11" s="62" t="str">
        <f>'DATA US'!G134</f>
        <v xml:space="preserve"> 31 Oktober 2007</v>
      </c>
      <c r="G11" s="63" t="s">
        <v>904</v>
      </c>
      <c r="H11" s="64" t="str">
        <f>'DATA US'!E134</f>
        <v>L</v>
      </c>
      <c r="I11" s="322">
        <v>85.51</v>
      </c>
      <c r="J11" s="322">
        <v>85.64</v>
      </c>
      <c r="K11" s="322">
        <v>89.82</v>
      </c>
      <c r="L11" s="322">
        <v>91.67</v>
      </c>
      <c r="M11" s="322">
        <v>87.5</v>
      </c>
      <c r="N11" s="322">
        <v>88.08</v>
      </c>
      <c r="O11" s="322">
        <v>82.5</v>
      </c>
      <c r="P11" s="322">
        <v>83.1</v>
      </c>
      <c r="Q11" s="322">
        <v>84.5</v>
      </c>
      <c r="R11" s="322">
        <v>80.5</v>
      </c>
      <c r="S11" s="322">
        <v>82.5</v>
      </c>
      <c r="T11" s="322">
        <v>83</v>
      </c>
      <c r="U11" s="322">
        <v>88</v>
      </c>
      <c r="V11" s="322">
        <v>87.505333333333297</v>
      </c>
      <c r="W11" s="322">
        <v>86.215158730158706</v>
      </c>
      <c r="X11" s="77">
        <v>84.671666666666695</v>
      </c>
      <c r="Y11" s="59" t="str">
        <f>'DATA US'!I134</f>
        <v>NAMUN</v>
      </c>
      <c r="Z11" s="59" t="str">
        <f>'DATA US'!C134</f>
        <v>0073240741</v>
      </c>
      <c r="AA11" s="308" t="s">
        <v>1363</v>
      </c>
    </row>
    <row r="12" spans="1:27" s="51" customFormat="1" ht="14.25" customHeight="1">
      <c r="A12" s="56">
        <v>10</v>
      </c>
      <c r="B12" s="57"/>
      <c r="C12" s="58" t="str">
        <f>'DATA US'!D100</f>
        <v>DAMA AJI</v>
      </c>
      <c r="D12" s="58">
        <f>'DATA US'!B100</f>
        <v>222310083</v>
      </c>
      <c r="E12" s="61" t="str">
        <f>'DATA US'!F100</f>
        <v>Jakarta</v>
      </c>
      <c r="F12" s="62">
        <f>'DATA US'!G100</f>
        <v>39024</v>
      </c>
      <c r="G12" s="63" t="s">
        <v>904</v>
      </c>
      <c r="H12" s="64" t="str">
        <f>'DATA US'!E100</f>
        <v>L</v>
      </c>
      <c r="I12" s="72">
        <v>84.91</v>
      </c>
      <c r="J12" s="72">
        <v>84.38</v>
      </c>
      <c r="K12" s="72">
        <v>85.98</v>
      </c>
      <c r="L12" s="72">
        <v>89.625</v>
      </c>
      <c r="M12" s="72">
        <v>84.5</v>
      </c>
      <c r="N12" s="72">
        <v>77.38</v>
      </c>
      <c r="O12" s="72">
        <v>85</v>
      </c>
      <c r="P12" s="72">
        <v>83.8</v>
      </c>
      <c r="Q12" s="72">
        <v>84</v>
      </c>
      <c r="R12" s="72">
        <v>80</v>
      </c>
      <c r="S12" s="72">
        <v>82.5</v>
      </c>
      <c r="T12" s="74">
        <v>82</v>
      </c>
      <c r="U12" s="74">
        <v>82.5</v>
      </c>
      <c r="V12" s="74">
        <v>85.234666666666698</v>
      </c>
      <c r="W12" s="74">
        <v>83.917420634920603</v>
      </c>
      <c r="X12" s="75">
        <v>84.517499999999998</v>
      </c>
      <c r="Y12" s="59" t="str">
        <f>'DATA US'!I100</f>
        <v>SURAHMAN</v>
      </c>
      <c r="Z12" s="59" t="str">
        <f>'DATA US'!C100</f>
        <v>0065044881</v>
      </c>
      <c r="AA12" s="308" t="s">
        <v>1364</v>
      </c>
    </row>
    <row r="13" spans="1:27" s="51" customFormat="1" ht="14.25" customHeight="1">
      <c r="A13" s="56">
        <v>11</v>
      </c>
      <c r="B13" s="57"/>
      <c r="C13" s="58" t="str">
        <f>'DATA US'!D101</f>
        <v>DAVINA KEISYAH PUTRI</v>
      </c>
      <c r="D13" s="58">
        <f>'DATA US'!B101</f>
        <v>222310084</v>
      </c>
      <c r="E13" s="61" t="str">
        <f>'DATA US'!F101</f>
        <v>Bekasi</v>
      </c>
      <c r="F13" s="62" t="str">
        <f>'DATA US'!G101</f>
        <v>27 Maret 2007</v>
      </c>
      <c r="G13" s="63" t="s">
        <v>904</v>
      </c>
      <c r="H13" s="64" t="str">
        <f>'DATA US'!E101</f>
        <v>P</v>
      </c>
      <c r="I13" s="72">
        <v>86.11</v>
      </c>
      <c r="J13" s="72">
        <v>85.88</v>
      </c>
      <c r="K13" s="72">
        <v>87.68</v>
      </c>
      <c r="L13" s="72">
        <v>91.254999999999995</v>
      </c>
      <c r="M13" s="72">
        <v>86</v>
      </c>
      <c r="N13" s="72">
        <v>87.08</v>
      </c>
      <c r="O13" s="72">
        <v>82</v>
      </c>
      <c r="P13" s="72">
        <v>82.2</v>
      </c>
      <c r="Q13" s="72">
        <v>86</v>
      </c>
      <c r="R13" s="72">
        <v>80.5</v>
      </c>
      <c r="S13" s="72">
        <v>84.5</v>
      </c>
      <c r="T13" s="74">
        <v>84.5</v>
      </c>
      <c r="U13" s="74">
        <v>84.3333333333333</v>
      </c>
      <c r="V13" s="74">
        <v>85.846666666666707</v>
      </c>
      <c r="W13" s="74">
        <v>85.256071428571403</v>
      </c>
      <c r="X13" s="75">
        <v>84.439166666666694</v>
      </c>
      <c r="Y13" s="59" t="str">
        <f>'DATA US'!I101</f>
        <v>DEDY MULYADI</v>
      </c>
      <c r="Z13" s="59" t="str">
        <f>'DATA US'!C101</f>
        <v>0074594754</v>
      </c>
      <c r="AA13" s="308" t="s">
        <v>1365</v>
      </c>
    </row>
    <row r="14" spans="1:27" s="51" customFormat="1" ht="14.25" customHeight="1">
      <c r="A14" s="56">
        <v>12</v>
      </c>
      <c r="B14" s="57"/>
      <c r="C14" s="58" t="str">
        <f>'DATA US'!D102</f>
        <v>DINA SUBARKAH</v>
      </c>
      <c r="D14" s="58">
        <f>'DATA US'!B102</f>
        <v>222310085</v>
      </c>
      <c r="E14" s="61" t="str">
        <f>'DATA US'!F102</f>
        <v>Bekasi</v>
      </c>
      <c r="F14" s="62" t="str">
        <f>'DATA US'!G102</f>
        <v>4 Maret 2007</v>
      </c>
      <c r="G14" s="63" t="s">
        <v>904</v>
      </c>
      <c r="H14" s="64" t="str">
        <f>'DATA US'!E102</f>
        <v>P</v>
      </c>
      <c r="I14" s="72">
        <v>84.67</v>
      </c>
      <c r="J14" s="72">
        <v>84.38</v>
      </c>
      <c r="K14" s="72">
        <v>88.78</v>
      </c>
      <c r="L14" s="72">
        <v>90.234999999999999</v>
      </c>
      <c r="M14" s="72">
        <v>87.5</v>
      </c>
      <c r="N14" s="72">
        <v>88.62</v>
      </c>
      <c r="O14" s="72">
        <v>83</v>
      </c>
      <c r="P14" s="72">
        <v>85.7</v>
      </c>
      <c r="Q14" s="72">
        <v>85.5</v>
      </c>
      <c r="R14" s="72">
        <v>80.5</v>
      </c>
      <c r="S14" s="72">
        <v>83.5</v>
      </c>
      <c r="T14" s="74">
        <v>83.5</v>
      </c>
      <c r="U14" s="74">
        <v>84.8333333333333</v>
      </c>
      <c r="V14" s="74">
        <v>86.237333333333297</v>
      </c>
      <c r="W14" s="74">
        <v>85.519126984126999</v>
      </c>
      <c r="X14" s="75">
        <v>84.33</v>
      </c>
      <c r="Y14" s="59" t="str">
        <f>'DATA US'!I102</f>
        <v>EDI SUBARKAH</v>
      </c>
      <c r="Z14" s="59" t="str">
        <f>'DATA US'!C102</f>
        <v>0071365415</v>
      </c>
      <c r="AA14" s="308" t="s">
        <v>1366</v>
      </c>
    </row>
    <row r="15" spans="1:27" s="51" customFormat="1" ht="14.25" customHeight="1">
      <c r="A15" s="56">
        <v>13</v>
      </c>
      <c r="B15" s="314"/>
      <c r="C15" s="58" t="str">
        <f>'DATA US'!D128</f>
        <v>DWI ARIFANI ADZANA</v>
      </c>
      <c r="D15" s="58">
        <f>'DATA US'!B128</f>
        <v>242512087</v>
      </c>
      <c r="E15" s="61" t="str">
        <f>'DATA US'!F128</f>
        <v>Bekasi</v>
      </c>
      <c r="F15" s="62" t="str">
        <f>'DATA US'!G128</f>
        <v>19 Mei 2006</v>
      </c>
      <c r="G15" s="63" t="s">
        <v>904</v>
      </c>
      <c r="H15" s="64" t="str">
        <f>'DATA US'!E128</f>
        <v>L</v>
      </c>
      <c r="I15" s="72">
        <v>82.7</v>
      </c>
      <c r="J15" s="72">
        <v>82.32</v>
      </c>
      <c r="K15" s="72">
        <v>85.55</v>
      </c>
      <c r="L15" s="72">
        <v>90.51</v>
      </c>
      <c r="M15" s="72">
        <v>85</v>
      </c>
      <c r="N15" s="72">
        <v>84.5</v>
      </c>
      <c r="O15" s="72">
        <v>80.5</v>
      </c>
      <c r="P15" s="72">
        <v>86.5</v>
      </c>
      <c r="Q15" s="72">
        <v>81</v>
      </c>
      <c r="R15" s="72">
        <v>78</v>
      </c>
      <c r="S15" s="72">
        <v>82</v>
      </c>
      <c r="T15" s="74">
        <v>83</v>
      </c>
      <c r="U15" s="74">
        <v>78.6666666666667</v>
      </c>
      <c r="V15" s="74">
        <v>83.822000000000003</v>
      </c>
      <c r="W15" s="74">
        <v>82.883531746031807</v>
      </c>
      <c r="X15" s="75">
        <v>83.864166666666705</v>
      </c>
      <c r="Y15" s="59" t="str">
        <f>'DATA US'!I128</f>
        <v>ARMAN</v>
      </c>
      <c r="Z15" s="59" t="str">
        <f>'DATA US'!C128</f>
        <v>0066035802</v>
      </c>
      <c r="AA15" s="308" t="s">
        <v>1367</v>
      </c>
    </row>
    <row r="16" spans="1:27" s="51" customFormat="1" ht="14.25" customHeight="1">
      <c r="A16" s="56">
        <v>14</v>
      </c>
      <c r="B16" s="310"/>
      <c r="C16" s="58" t="str">
        <f>'DATA US'!D135</f>
        <v>ECY LAURA CITRA</v>
      </c>
      <c r="D16" s="58">
        <f>'DATA US'!B135</f>
        <v>222310117</v>
      </c>
      <c r="E16" s="61" t="str">
        <f>'DATA US'!F135</f>
        <v>Subang</v>
      </c>
      <c r="F16" s="62" t="str">
        <f>'DATA US'!G135</f>
        <v xml:space="preserve"> 4 Juli 2007</v>
      </c>
      <c r="G16" s="63" t="s">
        <v>904</v>
      </c>
      <c r="H16" s="64" t="str">
        <f>'DATA US'!E135</f>
        <v>P</v>
      </c>
      <c r="I16" s="322">
        <v>83.38</v>
      </c>
      <c r="J16" s="322">
        <v>85.14</v>
      </c>
      <c r="K16" s="322">
        <v>86.59</v>
      </c>
      <c r="L16" s="322">
        <v>82.88</v>
      </c>
      <c r="M16" s="322">
        <v>83.5</v>
      </c>
      <c r="N16" s="322">
        <v>83.98</v>
      </c>
      <c r="O16" s="322">
        <v>81</v>
      </c>
      <c r="P16" s="322">
        <v>83.1</v>
      </c>
      <c r="Q16" s="322">
        <v>83</v>
      </c>
      <c r="R16" s="322">
        <v>79.5</v>
      </c>
      <c r="S16" s="322">
        <v>83.5</v>
      </c>
      <c r="T16" s="322">
        <v>84</v>
      </c>
      <c r="U16" s="322">
        <v>83.8333333333333</v>
      </c>
      <c r="V16" s="322">
        <v>83.843333333266699</v>
      </c>
      <c r="W16" s="322">
        <v>83.469285714269901</v>
      </c>
      <c r="X16" s="77">
        <v>82.5683333333333</v>
      </c>
      <c r="Y16" s="59" t="str">
        <f>'DATA US'!I135</f>
        <v>BUSTAMI CHANIAGO</v>
      </c>
      <c r="Z16" s="59" t="str">
        <f>'DATA US'!C135</f>
        <v>0074172506</v>
      </c>
      <c r="AA16" s="308" t="s">
        <v>1368</v>
      </c>
    </row>
    <row r="17" spans="1:27" s="51" customFormat="1" ht="14.25" customHeight="1">
      <c r="A17" s="56">
        <v>15</v>
      </c>
      <c r="B17" s="57"/>
      <c r="C17" s="58" t="str">
        <f>'DATA US'!D103</f>
        <v>ERWIN MAULANA</v>
      </c>
      <c r="D17" s="58">
        <f>'DATA US'!B103</f>
        <v>222310086</v>
      </c>
      <c r="E17" s="61" t="str">
        <f>'DATA US'!F103</f>
        <v>Bekasi</v>
      </c>
      <c r="F17" s="62" t="str">
        <f>'DATA US'!G103</f>
        <v>12 Mei 2006</v>
      </c>
      <c r="G17" s="63" t="s">
        <v>904</v>
      </c>
      <c r="H17" s="64" t="str">
        <f>'DATA US'!E103</f>
        <v>L</v>
      </c>
      <c r="I17" s="72">
        <v>84.49</v>
      </c>
      <c r="J17" s="72">
        <v>84.36</v>
      </c>
      <c r="K17" s="72">
        <v>88.42</v>
      </c>
      <c r="L17" s="72">
        <v>92.454999999999998</v>
      </c>
      <c r="M17" s="72">
        <v>84.5</v>
      </c>
      <c r="N17" s="72">
        <v>88.65</v>
      </c>
      <c r="O17" s="72">
        <v>82.5</v>
      </c>
      <c r="P17" s="72">
        <v>88.5</v>
      </c>
      <c r="Q17" s="72">
        <v>84</v>
      </c>
      <c r="R17" s="72">
        <v>80.5</v>
      </c>
      <c r="S17" s="72">
        <v>83.5</v>
      </c>
      <c r="T17" s="74">
        <v>84</v>
      </c>
      <c r="U17" s="74">
        <v>84.8333333333333</v>
      </c>
      <c r="V17" s="74">
        <v>84.706000000000003</v>
      </c>
      <c r="W17" s="74">
        <v>85.202539682539694</v>
      </c>
      <c r="X17" s="75">
        <v>85.348333333333301</v>
      </c>
      <c r="Y17" s="59" t="str">
        <f>'DATA US'!I103</f>
        <v>MAMAN FIRMANSYAH</v>
      </c>
      <c r="Z17" s="59" t="str">
        <f>'DATA US'!C103</f>
        <v>0061047101</v>
      </c>
      <c r="AA17" s="308" t="s">
        <v>1369</v>
      </c>
    </row>
    <row r="18" spans="1:27" s="51" customFormat="1" ht="14.25" customHeight="1">
      <c r="A18" s="56">
        <v>16</v>
      </c>
      <c r="B18" s="310"/>
      <c r="C18" s="58" t="str">
        <f>'DATA US'!D136</f>
        <v xml:space="preserve">FEBRY LIDIYANA MULYA PUTRI SURYANA </v>
      </c>
      <c r="D18" s="58">
        <f>'DATA US'!B136</f>
        <v>222310118</v>
      </c>
      <c r="E18" s="61" t="str">
        <f>'DATA US'!F136</f>
        <v>Jakarta</v>
      </c>
      <c r="F18" s="62" t="str">
        <f>'DATA US'!G136</f>
        <v xml:space="preserve"> 6 Februari 2007</v>
      </c>
      <c r="G18" s="63" t="s">
        <v>904</v>
      </c>
      <c r="H18" s="64" t="str">
        <f>'DATA US'!E136</f>
        <v>P</v>
      </c>
      <c r="I18" s="322">
        <v>82.82</v>
      </c>
      <c r="J18" s="322">
        <v>85.68</v>
      </c>
      <c r="K18" s="322">
        <v>85.5</v>
      </c>
      <c r="L18" s="322">
        <v>82.2</v>
      </c>
      <c r="M18" s="322">
        <v>83.5</v>
      </c>
      <c r="N18" s="322">
        <v>83.58</v>
      </c>
      <c r="O18" s="322">
        <v>80.5</v>
      </c>
      <c r="P18" s="322">
        <v>83.1</v>
      </c>
      <c r="Q18" s="322">
        <v>85.5</v>
      </c>
      <c r="R18" s="322">
        <v>78.5</v>
      </c>
      <c r="S18" s="322">
        <v>84</v>
      </c>
      <c r="T18" s="322">
        <v>84</v>
      </c>
      <c r="U18" s="322">
        <v>82.5</v>
      </c>
      <c r="V18" s="322">
        <v>82.937333333266693</v>
      </c>
      <c r="W18" s="322">
        <v>83.034523809507903</v>
      </c>
      <c r="X18" s="77">
        <v>82.658333333333303</v>
      </c>
      <c r="Y18" s="59" t="str">
        <f>'DATA US'!I136</f>
        <v>UJANG YANA SURYANA</v>
      </c>
      <c r="Z18" s="59" t="str">
        <f>'DATA US'!C136</f>
        <v>0078208166</v>
      </c>
      <c r="AA18" s="308" t="s">
        <v>1370</v>
      </c>
    </row>
    <row r="19" spans="1:27" s="51" customFormat="1" ht="14.25" customHeight="1">
      <c r="A19" s="56">
        <v>17</v>
      </c>
      <c r="B19" s="310"/>
      <c r="C19" s="58" t="str">
        <f>'DATA US'!D137</f>
        <v>FINITA MEYDINAYATI</v>
      </c>
      <c r="D19" s="58">
        <f>'DATA US'!B137</f>
        <v>222310119</v>
      </c>
      <c r="E19" s="61" t="str">
        <f>'DATA US'!F137</f>
        <v>Bekasi</v>
      </c>
      <c r="F19" s="62" t="str">
        <f>'DATA US'!G137</f>
        <v>13 Mei 2007</v>
      </c>
      <c r="G19" s="63" t="s">
        <v>904</v>
      </c>
      <c r="H19" s="64" t="str">
        <f>'DATA US'!E137</f>
        <v>P</v>
      </c>
      <c r="I19" s="322">
        <v>85.61</v>
      </c>
      <c r="J19" s="322">
        <v>84.85</v>
      </c>
      <c r="K19" s="322">
        <v>87.46</v>
      </c>
      <c r="L19" s="322">
        <v>83.21</v>
      </c>
      <c r="M19" s="322">
        <v>85</v>
      </c>
      <c r="N19" s="322">
        <v>88.86</v>
      </c>
      <c r="O19" s="322">
        <v>81.5</v>
      </c>
      <c r="P19" s="322">
        <v>83.1</v>
      </c>
      <c r="Q19" s="322">
        <v>84.5</v>
      </c>
      <c r="R19" s="322">
        <v>80</v>
      </c>
      <c r="S19" s="322">
        <v>84</v>
      </c>
      <c r="T19" s="322">
        <v>84</v>
      </c>
      <c r="U19" s="322">
        <v>83.5</v>
      </c>
      <c r="V19" s="322">
        <v>85.889999999933295</v>
      </c>
      <c r="W19" s="322">
        <v>84.622936507920599</v>
      </c>
      <c r="X19" s="77">
        <v>85.0416666666667</v>
      </c>
      <c r="Y19" s="59" t="str">
        <f>'DATA US'!I137</f>
        <v>DIDIN</v>
      </c>
      <c r="Z19" s="59" t="str">
        <f>'DATA US'!C137</f>
        <v>0076209344</v>
      </c>
      <c r="AA19" s="308" t="s">
        <v>1371</v>
      </c>
    </row>
    <row r="20" spans="1:27" s="51" customFormat="1" ht="14.25" customHeight="1">
      <c r="A20" s="56">
        <v>18</v>
      </c>
      <c r="B20" s="57"/>
      <c r="C20" s="58" t="str">
        <f>'DATA US'!D104</f>
        <v>GITA AMELIA</v>
      </c>
      <c r="D20" s="58">
        <f>'DATA US'!B104</f>
        <v>222310087</v>
      </c>
      <c r="E20" s="61" t="str">
        <f>'DATA US'!F104</f>
        <v>Bekasi</v>
      </c>
      <c r="F20" s="62" t="str">
        <f>'DATA US'!G104</f>
        <v xml:space="preserve"> 11 Mei 2006</v>
      </c>
      <c r="G20" s="63" t="s">
        <v>904</v>
      </c>
      <c r="H20" s="64" t="str">
        <f>'DATA US'!E104</f>
        <v>P</v>
      </c>
      <c r="I20" s="72">
        <v>84.14</v>
      </c>
      <c r="J20" s="72">
        <v>83.54</v>
      </c>
      <c r="K20" s="72">
        <v>87.58</v>
      </c>
      <c r="L20" s="72">
        <v>90.19</v>
      </c>
      <c r="M20" s="72">
        <v>86.5</v>
      </c>
      <c r="N20" s="72">
        <v>84.76</v>
      </c>
      <c r="O20" s="72">
        <v>84</v>
      </c>
      <c r="P20" s="72">
        <v>83.1</v>
      </c>
      <c r="Q20" s="72">
        <v>83.5</v>
      </c>
      <c r="R20" s="72">
        <v>81</v>
      </c>
      <c r="S20" s="72">
        <v>82.5</v>
      </c>
      <c r="T20" s="74">
        <v>83.5</v>
      </c>
      <c r="U20" s="74">
        <v>83.6666666666667</v>
      </c>
      <c r="V20" s="74">
        <v>85.622666666666703</v>
      </c>
      <c r="W20" s="74">
        <v>84.6415476190476</v>
      </c>
      <c r="X20" s="75">
        <v>84.049166666666693</v>
      </c>
      <c r="Y20" s="59" t="str">
        <f>'DATA US'!I104</f>
        <v>SALIM</v>
      </c>
      <c r="Z20" s="59" t="str">
        <f>'DATA US'!C104</f>
        <v>0061823698</v>
      </c>
      <c r="AA20" s="308" t="s">
        <v>1372</v>
      </c>
    </row>
    <row r="21" spans="1:27" s="51" customFormat="1" ht="14.25" customHeight="1">
      <c r="A21" s="56">
        <v>19</v>
      </c>
      <c r="B21" s="310"/>
      <c r="C21" s="58" t="str">
        <f>'DATA US'!D138</f>
        <v>HERMAWAN</v>
      </c>
      <c r="D21" s="58">
        <f>'DATA US'!B138</f>
        <v>222310120</v>
      </c>
      <c r="E21" s="61" t="str">
        <f>'DATA US'!F138</f>
        <v>Jakarta</v>
      </c>
      <c r="F21" s="62" t="str">
        <f>'DATA US'!G138</f>
        <v>12 Agustus 2007</v>
      </c>
      <c r="G21" s="63" t="s">
        <v>904</v>
      </c>
      <c r="H21" s="64" t="str">
        <f>'DATA US'!E138</f>
        <v>L</v>
      </c>
      <c r="I21" s="322">
        <v>84.26</v>
      </c>
      <c r="J21" s="322">
        <v>82.44</v>
      </c>
      <c r="K21" s="322">
        <v>88.97</v>
      </c>
      <c r="L21" s="322">
        <v>82.06</v>
      </c>
      <c r="M21" s="322">
        <v>86</v>
      </c>
      <c r="N21" s="322">
        <v>90.07</v>
      </c>
      <c r="O21" s="322">
        <v>82.5</v>
      </c>
      <c r="P21" s="322">
        <v>83.1</v>
      </c>
      <c r="Q21" s="322">
        <v>83.5</v>
      </c>
      <c r="R21" s="322">
        <v>82</v>
      </c>
      <c r="S21" s="322">
        <v>83.5</v>
      </c>
      <c r="T21" s="322">
        <v>84</v>
      </c>
      <c r="U21" s="322">
        <v>85.1666666666667</v>
      </c>
      <c r="V21" s="322">
        <v>84.375333333333302</v>
      </c>
      <c r="W21" s="322">
        <v>84.428730158730204</v>
      </c>
      <c r="X21" s="77">
        <v>83.226666666666702</v>
      </c>
      <c r="Y21" s="59" t="str">
        <f>'DATA US'!I138</f>
        <v>HERMANTO</v>
      </c>
      <c r="Z21" s="59" t="str">
        <f>'DATA US'!C138</f>
        <v>0073458110</v>
      </c>
      <c r="AA21" s="327" t="s">
        <v>1373</v>
      </c>
    </row>
    <row r="22" spans="1:27" s="51" customFormat="1" ht="14.25" customHeight="1">
      <c r="A22" s="56">
        <v>20</v>
      </c>
      <c r="B22" s="310"/>
      <c r="C22" s="58" t="str">
        <f>'DATA US'!D139</f>
        <v>HIJIYAH BULAN DARI</v>
      </c>
      <c r="D22" s="58">
        <f>'DATA US'!B139</f>
        <v>222310121</v>
      </c>
      <c r="E22" s="61" t="str">
        <f>'DATA US'!F139</f>
        <v>Bekasi</v>
      </c>
      <c r="F22" s="62" t="str">
        <f>'DATA US'!G139</f>
        <v>1 Januari 2007</v>
      </c>
      <c r="G22" s="63" t="s">
        <v>904</v>
      </c>
      <c r="H22" s="64" t="str">
        <f>'DATA US'!E139</f>
        <v>P</v>
      </c>
      <c r="I22" s="322">
        <v>85.26</v>
      </c>
      <c r="J22" s="322">
        <v>84.51</v>
      </c>
      <c r="K22" s="322">
        <v>86.96</v>
      </c>
      <c r="L22" s="322">
        <v>81.995000000000005</v>
      </c>
      <c r="M22" s="322">
        <v>84.5</v>
      </c>
      <c r="N22" s="322">
        <v>91.5</v>
      </c>
      <c r="O22" s="322">
        <v>81.5</v>
      </c>
      <c r="P22" s="322">
        <v>83.1</v>
      </c>
      <c r="Q22" s="322">
        <v>83</v>
      </c>
      <c r="R22" s="322">
        <v>81</v>
      </c>
      <c r="S22" s="322">
        <v>83</v>
      </c>
      <c r="T22" s="322">
        <v>84</v>
      </c>
      <c r="U22" s="322">
        <v>86.6666666666667</v>
      </c>
      <c r="V22" s="322">
        <v>86.402666666666704</v>
      </c>
      <c r="W22" s="322">
        <v>85.058253968253993</v>
      </c>
      <c r="X22" s="77">
        <v>83.885000000000005</v>
      </c>
      <c r="Y22" s="59" t="str">
        <f>'DATA US'!I139</f>
        <v>HENDRA PERMANA</v>
      </c>
      <c r="Z22" s="59" t="str">
        <f>'DATA US'!C139</f>
        <v>0075502511</v>
      </c>
      <c r="AA22" s="308" t="s">
        <v>1374</v>
      </c>
    </row>
    <row r="23" spans="1:27" s="51" customFormat="1" ht="14.25" customHeight="1">
      <c r="A23" s="56">
        <v>21</v>
      </c>
      <c r="B23" s="57"/>
      <c r="C23" s="58" t="str">
        <f>'DATA US'!D105</f>
        <v>IMAS RAHAYU</v>
      </c>
      <c r="D23" s="58">
        <f>'DATA US'!B105</f>
        <v>222310088</v>
      </c>
      <c r="E23" s="61" t="str">
        <f>'DATA US'!F105</f>
        <v>Bekasi</v>
      </c>
      <c r="F23" s="62" t="str">
        <f>'DATA US'!G105</f>
        <v>28 Desember 2006</v>
      </c>
      <c r="G23" s="63" t="s">
        <v>904</v>
      </c>
      <c r="H23" s="64" t="str">
        <f>'DATA US'!E105</f>
        <v>P</v>
      </c>
      <c r="I23" s="72">
        <v>85.7</v>
      </c>
      <c r="J23" s="72">
        <v>84.6</v>
      </c>
      <c r="K23" s="72">
        <v>89.72</v>
      </c>
      <c r="L23" s="72">
        <v>91.015000000000001</v>
      </c>
      <c r="M23" s="72">
        <v>85</v>
      </c>
      <c r="N23" s="72">
        <v>86.96</v>
      </c>
      <c r="O23" s="72">
        <v>83</v>
      </c>
      <c r="P23" s="72">
        <v>85.6</v>
      </c>
      <c r="Q23" s="72">
        <v>85</v>
      </c>
      <c r="R23" s="72">
        <v>80.5</v>
      </c>
      <c r="S23" s="72">
        <v>84.5</v>
      </c>
      <c r="T23" s="74">
        <v>84.5</v>
      </c>
      <c r="U23" s="74">
        <v>86.5</v>
      </c>
      <c r="V23" s="74">
        <v>86.207999999999998</v>
      </c>
      <c r="W23" s="74">
        <v>85.770238095238099</v>
      </c>
      <c r="X23" s="75">
        <v>84.54</v>
      </c>
      <c r="Y23" s="59" t="str">
        <f>'DATA US'!I105</f>
        <v>MISKA</v>
      </c>
      <c r="Z23" s="59" t="str">
        <f>'DATA US'!C105</f>
        <v>3066812278</v>
      </c>
      <c r="AA23" s="308" t="s">
        <v>1375</v>
      </c>
    </row>
    <row r="24" spans="1:27" s="51" customFormat="1" ht="14.25" customHeight="1">
      <c r="A24" s="56">
        <v>22</v>
      </c>
      <c r="B24" s="310"/>
      <c r="C24" s="58" t="str">
        <f>'DATA US'!D140</f>
        <v>IRFA MUBAROK</v>
      </c>
      <c r="D24" s="58">
        <f>'DATA US'!B140</f>
        <v>222310122</v>
      </c>
      <c r="E24" s="61" t="str">
        <f>'DATA US'!F140</f>
        <v>Bekasi</v>
      </c>
      <c r="F24" s="62" t="str">
        <f>'DATA US'!G140</f>
        <v xml:space="preserve"> 31 Mei 2006</v>
      </c>
      <c r="G24" s="63" t="s">
        <v>904</v>
      </c>
      <c r="H24" s="64" t="str">
        <f>'DATA US'!E140</f>
        <v>L</v>
      </c>
      <c r="I24" s="322">
        <v>84.29</v>
      </c>
      <c r="J24" s="322">
        <v>84.66</v>
      </c>
      <c r="K24" s="322">
        <v>88.46</v>
      </c>
      <c r="L24" s="322">
        <v>89.305000000000007</v>
      </c>
      <c r="M24" s="322">
        <v>85</v>
      </c>
      <c r="N24" s="322">
        <v>82.72</v>
      </c>
      <c r="O24" s="322">
        <v>82.5</v>
      </c>
      <c r="P24" s="322">
        <v>83.1</v>
      </c>
      <c r="Q24" s="322">
        <v>84.5</v>
      </c>
      <c r="R24" s="322">
        <v>81.5</v>
      </c>
      <c r="S24" s="322">
        <v>84</v>
      </c>
      <c r="T24" s="322">
        <v>83</v>
      </c>
      <c r="U24" s="322">
        <v>86.3333333333333</v>
      </c>
      <c r="V24" s="322">
        <v>84.1233333332667</v>
      </c>
      <c r="W24" s="322">
        <v>84.697698412682499</v>
      </c>
      <c r="X24" s="77">
        <v>86</v>
      </c>
      <c r="Y24" s="59" t="str">
        <f>'DATA US'!I140</f>
        <v>MASKON BIN ZAZULI</v>
      </c>
      <c r="Z24" s="59" t="str">
        <f>'DATA US'!C140</f>
        <v>0064458927</v>
      </c>
      <c r="AA24" s="308" t="s">
        <v>1376</v>
      </c>
    </row>
    <row r="25" spans="1:27" s="51" customFormat="1" ht="14.25" customHeight="1">
      <c r="A25" s="56">
        <v>23</v>
      </c>
      <c r="B25" s="310"/>
      <c r="C25" s="58" t="str">
        <f>'DATA US'!D141</f>
        <v>IRMA ELITANA</v>
      </c>
      <c r="D25" s="58">
        <f>'DATA US'!B141</f>
        <v>222310123</v>
      </c>
      <c r="E25" s="61" t="str">
        <f>'DATA US'!F141</f>
        <v>Bekasi</v>
      </c>
      <c r="F25" s="62" t="str">
        <f>'DATA US'!G141</f>
        <v>6 Juni 2005</v>
      </c>
      <c r="G25" s="63" t="s">
        <v>904</v>
      </c>
      <c r="H25" s="64" t="str">
        <f>'DATA US'!E141</f>
        <v>P</v>
      </c>
      <c r="I25" s="322">
        <v>84.38</v>
      </c>
      <c r="J25" s="322">
        <v>86.52</v>
      </c>
      <c r="K25" s="322">
        <v>86.94</v>
      </c>
      <c r="L25" s="322">
        <v>85.984999999999999</v>
      </c>
      <c r="M25" s="322">
        <v>86.5</v>
      </c>
      <c r="N25" s="322">
        <v>86.09</v>
      </c>
      <c r="O25" s="322">
        <v>81</v>
      </c>
      <c r="P25" s="322">
        <v>83.1</v>
      </c>
      <c r="Q25" s="322">
        <v>85</v>
      </c>
      <c r="R25" s="322">
        <v>81.5</v>
      </c>
      <c r="S25" s="322">
        <v>85.5</v>
      </c>
      <c r="T25" s="322">
        <v>85</v>
      </c>
      <c r="U25" s="322">
        <v>87</v>
      </c>
      <c r="V25" s="322">
        <v>85.487333333400002</v>
      </c>
      <c r="W25" s="322">
        <v>85.283809523825397</v>
      </c>
      <c r="X25" s="77">
        <v>85.008333333333297</v>
      </c>
      <c r="Y25" s="59" t="str">
        <f>'DATA US'!I141</f>
        <v>DAHLAN BIN ENDING</v>
      </c>
      <c r="Z25" s="59" t="str">
        <f>'DATA US'!C141</f>
        <v>0065646956</v>
      </c>
      <c r="AA25" s="308" t="s">
        <v>1377</v>
      </c>
    </row>
    <row r="26" spans="1:27" s="51" customFormat="1" ht="14.25" customHeight="1">
      <c r="A26" s="56">
        <v>24</v>
      </c>
      <c r="B26" s="313"/>
      <c r="C26" s="58" t="str">
        <f>'DATA US'!D106</f>
        <v>KAILA ZAHRA</v>
      </c>
      <c r="D26" s="58">
        <f>'DATA US'!B106</f>
        <v>222310089</v>
      </c>
      <c r="E26" s="61" t="str">
        <f>'DATA US'!F106</f>
        <v>Bekasi</v>
      </c>
      <c r="F26" s="62" t="str">
        <f>'DATA US'!G106</f>
        <v>13 Januari 2007</v>
      </c>
      <c r="G26" s="63" t="s">
        <v>904</v>
      </c>
      <c r="H26" s="64" t="str">
        <f>'DATA US'!E106</f>
        <v>P</v>
      </c>
      <c r="I26" s="72">
        <v>84.41</v>
      </c>
      <c r="J26" s="72">
        <v>84</v>
      </c>
      <c r="K26" s="72">
        <v>88.23</v>
      </c>
      <c r="L26" s="72">
        <v>89.81</v>
      </c>
      <c r="M26" s="72">
        <v>85</v>
      </c>
      <c r="N26" s="72">
        <v>83.8</v>
      </c>
      <c r="O26" s="72">
        <v>86.5</v>
      </c>
      <c r="P26" s="72">
        <v>88</v>
      </c>
      <c r="Q26" s="72">
        <v>84.5</v>
      </c>
      <c r="R26" s="72">
        <v>84</v>
      </c>
      <c r="S26" s="72">
        <v>84.5</v>
      </c>
      <c r="T26" s="74">
        <v>84</v>
      </c>
      <c r="U26" s="74">
        <v>84.6666666666667</v>
      </c>
      <c r="V26" s="74">
        <v>87.525333333333293</v>
      </c>
      <c r="W26" s="74">
        <v>85.853968253968205</v>
      </c>
      <c r="X26" s="75">
        <v>84.5566666666667</v>
      </c>
      <c r="Y26" s="59" t="str">
        <f>'DATA US'!I106</f>
        <v>RAHMAT TULOH HIDAYAT</v>
      </c>
      <c r="Z26" s="59" t="str">
        <f>'DATA US'!C106</f>
        <v>0073712406</v>
      </c>
      <c r="AA26" s="308" t="s">
        <v>1378</v>
      </c>
    </row>
    <row r="27" spans="1:27" s="51" customFormat="1" ht="14.25" customHeight="1">
      <c r="A27" s="56">
        <v>25</v>
      </c>
      <c r="B27" s="313"/>
      <c r="C27" s="58" t="str">
        <f>'DATA US'!D107</f>
        <v>KHEYSA VIDA ANGGRAINI</v>
      </c>
      <c r="D27" s="58">
        <f>'DATA US'!B107</f>
        <v>222310090</v>
      </c>
      <c r="E27" s="61" t="str">
        <f>'DATA US'!F107</f>
        <v>Sukoharjo</v>
      </c>
      <c r="F27" s="62" t="str">
        <f>'DATA US'!G107</f>
        <v xml:space="preserve"> 8 Maret 2007</v>
      </c>
      <c r="G27" s="63" t="s">
        <v>904</v>
      </c>
      <c r="H27" s="64" t="str">
        <f>'DATA US'!E107</f>
        <v>P</v>
      </c>
      <c r="I27" s="72">
        <v>83.93</v>
      </c>
      <c r="J27" s="72">
        <v>83.12</v>
      </c>
      <c r="K27" s="72">
        <v>86.2</v>
      </c>
      <c r="L27" s="72">
        <v>90.495000000000005</v>
      </c>
      <c r="M27" s="72">
        <v>81.5</v>
      </c>
      <c r="N27" s="72">
        <v>85.81</v>
      </c>
      <c r="O27" s="72">
        <v>83</v>
      </c>
      <c r="P27" s="72">
        <v>85.8</v>
      </c>
      <c r="Q27" s="72">
        <v>82.5</v>
      </c>
      <c r="R27" s="72">
        <v>81</v>
      </c>
      <c r="S27" s="72">
        <v>83.5</v>
      </c>
      <c r="T27" s="74">
        <v>83</v>
      </c>
      <c r="U27" s="74">
        <v>81.8333333333333</v>
      </c>
      <c r="V27" s="74">
        <v>85.060666666666705</v>
      </c>
      <c r="W27" s="74">
        <v>84.028452380952402</v>
      </c>
      <c r="X27" s="75">
        <v>83.939166666666694</v>
      </c>
      <c r="Y27" s="59" t="str">
        <f>'DATA US'!I107</f>
        <v>FAJAR AMIR FAHMI</v>
      </c>
      <c r="Z27" s="59" t="str">
        <f>'DATA US'!C107</f>
        <v>0073407455</v>
      </c>
      <c r="AA27" s="308" t="s">
        <v>1379</v>
      </c>
    </row>
    <row r="28" spans="1:27" s="51" customFormat="1" ht="14.25" customHeight="1">
      <c r="A28" s="56">
        <v>26</v>
      </c>
      <c r="B28" s="313"/>
      <c r="C28" s="58" t="str">
        <f>'DATA US'!D108</f>
        <v>LEO STEPEN</v>
      </c>
      <c r="D28" s="58">
        <f>'DATA US'!B108</f>
        <v>222310091</v>
      </c>
      <c r="E28" s="61" t="str">
        <f>'DATA US'!F108</f>
        <v>Bekasi</v>
      </c>
      <c r="F28" s="62" t="str">
        <f>'DATA US'!G108</f>
        <v xml:space="preserve"> 26 Desember 2005</v>
      </c>
      <c r="G28" s="63" t="s">
        <v>904</v>
      </c>
      <c r="H28" s="64" t="str">
        <f>'DATA US'!E108</f>
        <v>L</v>
      </c>
      <c r="I28" s="72">
        <v>85.93</v>
      </c>
      <c r="J28" s="72">
        <v>85.6</v>
      </c>
      <c r="K28" s="72">
        <v>85.82</v>
      </c>
      <c r="L28" s="72">
        <v>80.81</v>
      </c>
      <c r="M28" s="72">
        <v>86.5</v>
      </c>
      <c r="N28" s="72">
        <v>84.76</v>
      </c>
      <c r="O28" s="72">
        <v>83.5</v>
      </c>
      <c r="P28" s="72">
        <v>86.7</v>
      </c>
      <c r="Q28" s="72">
        <v>85.5</v>
      </c>
      <c r="R28" s="72">
        <v>79.5</v>
      </c>
      <c r="S28" s="72">
        <v>84</v>
      </c>
      <c r="T28" s="74">
        <v>84</v>
      </c>
      <c r="U28" s="74">
        <v>82.6666666666667</v>
      </c>
      <c r="V28" s="74">
        <v>56.064</v>
      </c>
      <c r="W28" s="74">
        <v>77.473333333333301</v>
      </c>
      <c r="X28" s="75">
        <v>86</v>
      </c>
      <c r="Y28" s="59" t="str">
        <f>'DATA US'!I108</f>
        <v>NURMIN</v>
      </c>
      <c r="Z28" s="59" t="str">
        <f>'DATA US'!C108</f>
        <v>0058876158</v>
      </c>
      <c r="AA28" s="308" t="s">
        <v>1380</v>
      </c>
    </row>
    <row r="29" spans="1:27" s="51" customFormat="1" ht="14.25" customHeight="1">
      <c r="A29" s="56">
        <v>27</v>
      </c>
      <c r="B29" s="312"/>
      <c r="C29" s="58" t="str">
        <f>'DATA US'!D142</f>
        <v>LUFI RAMADHANI</v>
      </c>
      <c r="D29" s="58">
        <f>'DATA US'!B142</f>
        <v>222310124</v>
      </c>
      <c r="E29" s="61" t="str">
        <f>'DATA US'!F142</f>
        <v>Bekasi</v>
      </c>
      <c r="F29" s="62" t="str">
        <f>'DATA US'!G142</f>
        <v>18 Oktober 2006</v>
      </c>
      <c r="G29" s="63" t="s">
        <v>904</v>
      </c>
      <c r="H29" s="64" t="str">
        <f>'DATA US'!E142</f>
        <v>L</v>
      </c>
      <c r="I29" s="322">
        <v>86.12</v>
      </c>
      <c r="J29" s="322">
        <v>87.1</v>
      </c>
      <c r="K29" s="322">
        <v>88.63</v>
      </c>
      <c r="L29" s="322">
        <v>86.375</v>
      </c>
      <c r="M29" s="322">
        <v>87</v>
      </c>
      <c r="N29" s="322">
        <v>87.93</v>
      </c>
      <c r="O29" s="322">
        <v>84</v>
      </c>
      <c r="P29" s="322">
        <v>83.1</v>
      </c>
      <c r="Q29" s="322">
        <v>87</v>
      </c>
      <c r="R29" s="322">
        <v>83</v>
      </c>
      <c r="S29" s="322">
        <v>84</v>
      </c>
      <c r="T29" s="322">
        <v>83</v>
      </c>
      <c r="U29" s="322">
        <v>89</v>
      </c>
      <c r="V29" s="322">
        <v>87.374000000066701</v>
      </c>
      <c r="W29" s="322">
        <v>86.448095238111094</v>
      </c>
      <c r="X29" s="77">
        <v>84.284999999999997</v>
      </c>
      <c r="Y29" s="59" t="str">
        <f>'DATA US'!I142</f>
        <v>ABDUL KARIM</v>
      </c>
      <c r="Z29" s="59" t="str">
        <f>'DATA US'!C142</f>
        <v>0061468832</v>
      </c>
      <c r="AA29" s="308" t="s">
        <v>1381</v>
      </c>
    </row>
    <row r="30" spans="1:27" s="51" customFormat="1" ht="14.25" customHeight="1">
      <c r="A30" s="56">
        <v>28</v>
      </c>
      <c r="B30" s="313"/>
      <c r="C30" s="58" t="str">
        <f>'DATA US'!D109</f>
        <v>M. FACHRI RIZKI MAULANA</v>
      </c>
      <c r="D30" s="58">
        <f>'DATA US'!B109</f>
        <v>222310092</v>
      </c>
      <c r="E30" s="61" t="str">
        <f>'DATA US'!F109</f>
        <v>Bekasi</v>
      </c>
      <c r="F30" s="62" t="str">
        <f>'DATA US'!G109</f>
        <v xml:space="preserve"> 27 Agustus 2007</v>
      </c>
      <c r="G30" s="63" t="s">
        <v>904</v>
      </c>
      <c r="H30" s="64" t="str">
        <f>'DATA US'!E109</f>
        <v>L</v>
      </c>
      <c r="I30" s="72">
        <v>89.12</v>
      </c>
      <c r="J30" s="72">
        <v>88.6</v>
      </c>
      <c r="K30" s="72">
        <v>91.74</v>
      </c>
      <c r="L30" s="72">
        <v>91.855000000000004</v>
      </c>
      <c r="M30" s="72">
        <v>88</v>
      </c>
      <c r="N30" s="72">
        <v>92.92</v>
      </c>
      <c r="O30" s="72">
        <v>84</v>
      </c>
      <c r="P30" s="72">
        <v>88.8</v>
      </c>
      <c r="Q30" s="72">
        <v>88.5</v>
      </c>
      <c r="R30" s="72">
        <v>84</v>
      </c>
      <c r="S30" s="72">
        <v>84.5</v>
      </c>
      <c r="T30" s="74">
        <v>84</v>
      </c>
      <c r="U30" s="74">
        <v>85.3333333333333</v>
      </c>
      <c r="V30" s="74">
        <v>86.847333333333296</v>
      </c>
      <c r="W30" s="74">
        <v>87.250476190476206</v>
      </c>
      <c r="X30" s="75">
        <v>85.988333333333301</v>
      </c>
      <c r="Y30" s="59" t="str">
        <f>'DATA US'!I109</f>
        <v>MAKMUN</v>
      </c>
      <c r="Z30" s="59" t="str">
        <f>'DATA US'!C109</f>
        <v>0079452159</v>
      </c>
      <c r="AA30" s="308" t="s">
        <v>1382</v>
      </c>
    </row>
    <row r="31" spans="1:27" s="51" customFormat="1" ht="14.25" customHeight="1">
      <c r="A31" s="56">
        <v>29</v>
      </c>
      <c r="B31"/>
      <c r="C31" s="58" t="str">
        <f>'DATA US'!D143</f>
        <v>M. REUBEN ARFAQI AGUSTIAN</v>
      </c>
      <c r="D31" s="58">
        <f>'DATA US'!B143</f>
        <v>222310129</v>
      </c>
      <c r="E31" s="61" t="str">
        <f>'DATA US'!F143</f>
        <v>Bekasi</v>
      </c>
      <c r="F31" s="62" t="str">
        <f>'DATA US'!G143</f>
        <v xml:space="preserve"> 1 Agustus 2007</v>
      </c>
      <c r="G31" s="63" t="s">
        <v>904</v>
      </c>
      <c r="H31" s="64" t="str">
        <f>'DATA US'!E143</f>
        <v>L</v>
      </c>
      <c r="I31" s="322">
        <v>84.43</v>
      </c>
      <c r="J31" s="322">
        <v>83.99</v>
      </c>
      <c r="K31" s="322">
        <v>89.1</v>
      </c>
      <c r="L31" s="322">
        <v>89.185000000000002</v>
      </c>
      <c r="M31" s="322">
        <v>85</v>
      </c>
      <c r="N31" s="322">
        <v>87.61</v>
      </c>
      <c r="O31" s="322">
        <v>83</v>
      </c>
      <c r="P31" s="322">
        <v>84.3</v>
      </c>
      <c r="Q31" s="322">
        <v>84.5</v>
      </c>
      <c r="R31" s="322">
        <v>80.5</v>
      </c>
      <c r="S31" s="322">
        <v>84</v>
      </c>
      <c r="T31" s="322">
        <v>84</v>
      </c>
      <c r="U31" s="322">
        <v>85.8333333333333</v>
      </c>
      <c r="V31" s="322">
        <v>85.587333333266699</v>
      </c>
      <c r="W31" s="322">
        <v>85.143650793634905</v>
      </c>
      <c r="X31" s="77">
        <v>82.965000000000003</v>
      </c>
      <c r="Y31" s="59" t="str">
        <f>'DATA US'!I143</f>
        <v>SUHANA</v>
      </c>
      <c r="Z31" s="59" t="str">
        <f>'DATA US'!C143</f>
        <v>0077314727</v>
      </c>
      <c r="AA31" s="308" t="s">
        <v>1383</v>
      </c>
    </row>
    <row r="32" spans="1:27" s="51" customFormat="1" ht="14.25" customHeight="1">
      <c r="A32" s="56">
        <v>30</v>
      </c>
      <c r="B32" s="2"/>
      <c r="C32" s="60" t="str">
        <f>'DATA US'!D145</f>
        <v>MARYATI</v>
      </c>
      <c r="D32" s="60">
        <f>'DATA US'!B145</f>
        <v>222310125</v>
      </c>
      <c r="E32" s="65" t="str">
        <f>'DATA US'!F145</f>
        <v>Bekasi</v>
      </c>
      <c r="F32" s="66" t="str">
        <f>'DATA US'!G145</f>
        <v>23 Desember 2006</v>
      </c>
      <c r="G32" s="67" t="s">
        <v>904</v>
      </c>
      <c r="H32" s="68" t="str">
        <f>'DATA US'!E145</f>
        <v>P</v>
      </c>
      <c r="I32" s="323">
        <v>83.24</v>
      </c>
      <c r="J32" s="323">
        <v>82.44</v>
      </c>
      <c r="K32" s="323">
        <v>87.87</v>
      </c>
      <c r="L32" s="323">
        <v>82.135000000000005</v>
      </c>
      <c r="M32" s="323">
        <v>84.5</v>
      </c>
      <c r="N32" s="323">
        <v>85.08</v>
      </c>
      <c r="O32" s="323">
        <v>80.5</v>
      </c>
      <c r="P32" s="323">
        <v>84</v>
      </c>
      <c r="Q32" s="323">
        <v>83</v>
      </c>
      <c r="R32" s="323">
        <v>80.5</v>
      </c>
      <c r="S32" s="323">
        <v>83</v>
      </c>
      <c r="T32" s="323">
        <v>84</v>
      </c>
      <c r="U32" s="323">
        <v>83.5</v>
      </c>
      <c r="V32" s="323">
        <v>85.296666666600004</v>
      </c>
      <c r="W32" s="323">
        <v>83.86</v>
      </c>
      <c r="X32" s="78">
        <v>83.9</v>
      </c>
      <c r="Y32" s="80" t="str">
        <f>'DATA US'!I145</f>
        <v>CATIM</v>
      </c>
      <c r="Z32" s="80" t="str">
        <f>'DATA US'!C145</f>
        <v>0067588196</v>
      </c>
      <c r="AA32" s="308" t="s">
        <v>1384</v>
      </c>
    </row>
    <row r="33" spans="1:27" s="51" customFormat="1" ht="14.25" customHeight="1">
      <c r="A33" s="56">
        <v>31</v>
      </c>
      <c r="B33"/>
      <c r="C33" s="58" t="str">
        <f>'DATA US'!D146</f>
        <v>MEISYA DITA KHOIRUNISA</v>
      </c>
      <c r="D33" s="58">
        <f>'DATA US'!B146</f>
        <v>222310126</v>
      </c>
      <c r="E33" s="61" t="str">
        <f>'DATA US'!F146</f>
        <v>Bekasi</v>
      </c>
      <c r="F33" s="62" t="str">
        <f>'DATA US'!G146</f>
        <v xml:space="preserve"> 1 Mei 2006</v>
      </c>
      <c r="G33" s="63" t="s">
        <v>904</v>
      </c>
      <c r="H33" s="64" t="str">
        <f>'DATA US'!E146</f>
        <v>P</v>
      </c>
      <c r="I33" s="322">
        <v>84.54</v>
      </c>
      <c r="J33" s="322">
        <v>85.78</v>
      </c>
      <c r="K33" s="322">
        <v>86.62</v>
      </c>
      <c r="L33" s="322">
        <v>82.38</v>
      </c>
      <c r="M33" s="322">
        <v>84.5</v>
      </c>
      <c r="N33" s="322">
        <v>84.56</v>
      </c>
      <c r="O33" s="322">
        <v>82</v>
      </c>
      <c r="P33" s="322">
        <v>83.9</v>
      </c>
      <c r="Q33" s="322">
        <v>82.5</v>
      </c>
      <c r="R33" s="322">
        <v>80.5</v>
      </c>
      <c r="S33" s="322">
        <v>84</v>
      </c>
      <c r="T33" s="322">
        <v>84</v>
      </c>
      <c r="U33" s="322">
        <v>86.5</v>
      </c>
      <c r="V33" s="322">
        <v>83.948666666600005</v>
      </c>
      <c r="W33" s="322">
        <v>84.208412698396799</v>
      </c>
      <c r="X33" s="77">
        <v>83.853333333333296</v>
      </c>
      <c r="Y33" s="59" t="str">
        <f>'DATA US'!I146</f>
        <v xml:space="preserve">BO'AN </v>
      </c>
      <c r="Z33" s="59" t="str">
        <f>'DATA US'!C146</f>
        <v>0062811006</v>
      </c>
      <c r="AA33" s="308" t="s">
        <v>1385</v>
      </c>
    </row>
    <row r="34" spans="1:27" s="51" customFormat="1" ht="14.25" customHeight="1">
      <c r="A34" s="56">
        <v>32</v>
      </c>
      <c r="B34"/>
      <c r="C34" s="58" t="str">
        <f>'DATA US'!D147</f>
        <v>MELA MELATI</v>
      </c>
      <c r="D34" s="58">
        <f>'DATA US'!B147</f>
        <v>222310127</v>
      </c>
      <c r="E34" s="61" t="str">
        <f>'DATA US'!F147</f>
        <v>Bekasi</v>
      </c>
      <c r="F34" s="62" t="str">
        <f>'DATA US'!G147</f>
        <v xml:space="preserve"> 2 Juli 2007</v>
      </c>
      <c r="G34" s="63" t="s">
        <v>904</v>
      </c>
      <c r="H34" s="64" t="str">
        <f>'DATA US'!E147</f>
        <v>P</v>
      </c>
      <c r="I34" s="322">
        <v>83.78</v>
      </c>
      <c r="J34" s="322">
        <v>84.9</v>
      </c>
      <c r="K34" s="322">
        <v>88.66</v>
      </c>
      <c r="L34" s="322">
        <v>84.394999999999996</v>
      </c>
      <c r="M34" s="322">
        <v>85</v>
      </c>
      <c r="N34" s="322">
        <v>84.81</v>
      </c>
      <c r="O34" s="322">
        <v>81</v>
      </c>
      <c r="P34" s="322">
        <v>84.4</v>
      </c>
      <c r="Q34" s="322">
        <v>84</v>
      </c>
      <c r="R34" s="322">
        <v>79.5</v>
      </c>
      <c r="S34" s="322">
        <v>84</v>
      </c>
      <c r="T34" s="322">
        <v>84</v>
      </c>
      <c r="U34" s="322">
        <v>87.3333333333333</v>
      </c>
      <c r="V34" s="322">
        <v>83.732666666599997</v>
      </c>
      <c r="W34" s="322">
        <v>84.439841269825394</v>
      </c>
      <c r="X34" s="77">
        <v>84.128333333333302</v>
      </c>
      <c r="Y34" s="59" t="str">
        <f>'DATA US'!I147</f>
        <v xml:space="preserve">NABRIH </v>
      </c>
      <c r="Z34" s="59" t="str">
        <f>'DATA US'!C147</f>
        <v>0079477598</v>
      </c>
      <c r="AA34" s="308" t="s">
        <v>1386</v>
      </c>
    </row>
    <row r="35" spans="1:27" s="51" customFormat="1" ht="14.25" customHeight="1">
      <c r="A35" s="56">
        <v>33</v>
      </c>
      <c r="B35" s="311"/>
      <c r="C35" s="58" t="str">
        <f>'DATA US'!D110</f>
        <v>MELI ANJANI</v>
      </c>
      <c r="D35" s="58">
        <f>'DATA US'!B110</f>
        <v>222310093</v>
      </c>
      <c r="E35" s="61" t="str">
        <f>'DATA US'!F110</f>
        <v>Bekasi</v>
      </c>
      <c r="F35" s="62" t="str">
        <f>'DATA US'!G110</f>
        <v>3 Juni 2007</v>
      </c>
      <c r="G35" s="63" t="s">
        <v>904</v>
      </c>
      <c r="H35" s="64" t="str">
        <f>'DATA US'!E110</f>
        <v>P</v>
      </c>
      <c r="I35" s="72">
        <v>84.3</v>
      </c>
      <c r="J35" s="72">
        <v>83.56</v>
      </c>
      <c r="K35" s="72">
        <v>88.54</v>
      </c>
      <c r="L35" s="72">
        <v>89.685000000000002</v>
      </c>
      <c r="M35" s="72">
        <v>85</v>
      </c>
      <c r="N35" s="72">
        <v>82.12</v>
      </c>
      <c r="O35" s="72">
        <v>84</v>
      </c>
      <c r="P35" s="72">
        <v>88.1</v>
      </c>
      <c r="Q35" s="72">
        <v>83</v>
      </c>
      <c r="R35" s="72">
        <v>82.5</v>
      </c>
      <c r="S35" s="72">
        <v>83</v>
      </c>
      <c r="T35" s="74">
        <v>82</v>
      </c>
      <c r="U35" s="74">
        <v>83.6666666666667</v>
      </c>
      <c r="V35" s="74">
        <v>86.54</v>
      </c>
      <c r="W35" s="74">
        <v>84.953095238095202</v>
      </c>
      <c r="X35" s="75">
        <v>84.51</v>
      </c>
      <c r="Y35" s="59" t="str">
        <f>'DATA US'!I110</f>
        <v>OMA</v>
      </c>
      <c r="Z35" s="59" t="str">
        <f>'DATA US'!C110</f>
        <v>0071002555</v>
      </c>
      <c r="AA35" s="308" t="s">
        <v>1387</v>
      </c>
    </row>
    <row r="36" spans="1:27" s="51" customFormat="1" ht="14.25" customHeight="1">
      <c r="A36" s="56">
        <v>34</v>
      </c>
      <c r="B36" s="311"/>
      <c r="C36" s="58" t="str">
        <f>'DATA US'!D111</f>
        <v>MILDA APRILIANNI</v>
      </c>
      <c r="D36" s="58">
        <f>'DATA US'!B111</f>
        <v>222310094</v>
      </c>
      <c r="E36" s="61" t="str">
        <f>'DATA US'!F111</f>
        <v>Sukabumi</v>
      </c>
      <c r="F36" s="62" t="str">
        <f>'DATA US'!G111</f>
        <v xml:space="preserve"> 18 April 2006</v>
      </c>
      <c r="G36" s="63" t="s">
        <v>904</v>
      </c>
      <c r="H36" s="64" t="str">
        <f>'DATA US'!E111</f>
        <v>P</v>
      </c>
      <c r="I36" s="72">
        <v>85.44</v>
      </c>
      <c r="J36" s="72">
        <v>84.94</v>
      </c>
      <c r="K36" s="72">
        <v>89.57</v>
      </c>
      <c r="L36" s="72">
        <v>90.954999999999998</v>
      </c>
      <c r="M36" s="72">
        <v>86.5</v>
      </c>
      <c r="N36" s="72">
        <v>92.26</v>
      </c>
      <c r="O36" s="72">
        <v>84</v>
      </c>
      <c r="P36" s="72">
        <v>81.8</v>
      </c>
      <c r="Q36" s="72">
        <v>86</v>
      </c>
      <c r="R36" s="72">
        <v>82</v>
      </c>
      <c r="S36" s="72">
        <v>84.5</v>
      </c>
      <c r="T36" s="74">
        <v>83</v>
      </c>
      <c r="U36" s="74">
        <v>85.6666666666667</v>
      </c>
      <c r="V36" s="74">
        <v>85.388000000000005</v>
      </c>
      <c r="W36" s="74">
        <v>85.647341269841306</v>
      </c>
      <c r="X36" s="75">
        <v>83.689166666666694</v>
      </c>
      <c r="Y36" s="59" t="str">
        <f>'DATA US'!I111</f>
        <v>DADANG SUHENDI</v>
      </c>
      <c r="Z36" s="59" t="str">
        <f>'DATA US'!C111</f>
        <v>0067648631</v>
      </c>
      <c r="AA36" s="308" t="s">
        <v>1388</v>
      </c>
    </row>
    <row r="37" spans="1:27" s="51" customFormat="1" ht="14.25" customHeight="1">
      <c r="A37" s="56">
        <v>35</v>
      </c>
      <c r="B37" s="311"/>
      <c r="C37" s="58" t="str">
        <f>'DATA US'!D112</f>
        <v>MUHAMAD RISQI FAJRI</v>
      </c>
      <c r="D37" s="58">
        <f>'DATA US'!B112</f>
        <v>222310095</v>
      </c>
      <c r="E37" s="61" t="str">
        <f>'DATA US'!F112</f>
        <v>Bekasi</v>
      </c>
      <c r="F37" s="62">
        <f>'DATA US'!G112</f>
        <v>39202</v>
      </c>
      <c r="G37" s="63" t="s">
        <v>904</v>
      </c>
      <c r="H37" s="64" t="str">
        <f>'DATA US'!E112</f>
        <v>L</v>
      </c>
      <c r="I37" s="72">
        <v>88.44</v>
      </c>
      <c r="J37" s="72">
        <v>87.32</v>
      </c>
      <c r="K37" s="72">
        <v>88.89</v>
      </c>
      <c r="L37" s="72">
        <v>93.03</v>
      </c>
      <c r="M37" s="72">
        <v>87.5</v>
      </c>
      <c r="N37" s="72">
        <v>87.43</v>
      </c>
      <c r="O37" s="72">
        <v>84</v>
      </c>
      <c r="P37" s="72">
        <v>88</v>
      </c>
      <c r="Q37" s="72">
        <v>87</v>
      </c>
      <c r="R37" s="72">
        <v>83</v>
      </c>
      <c r="S37" s="72">
        <v>87.5</v>
      </c>
      <c r="T37" s="74">
        <v>87</v>
      </c>
      <c r="U37" s="74">
        <v>87.1666666666667</v>
      </c>
      <c r="V37" s="74">
        <v>85.605333333333306</v>
      </c>
      <c r="W37" s="74">
        <v>86.771269841269799</v>
      </c>
      <c r="X37" s="75">
        <v>83.56</v>
      </c>
      <c r="Y37" s="59" t="str">
        <f>'DATA US'!I112</f>
        <v>SUPARNO</v>
      </c>
      <c r="Z37" s="59" t="str">
        <f>'DATA US'!C112</f>
        <v>0077749659</v>
      </c>
      <c r="AA37" s="308" t="s">
        <v>1389</v>
      </c>
    </row>
    <row r="38" spans="1:27" ht="15.6">
      <c r="A38" s="56">
        <v>36</v>
      </c>
      <c r="C38" s="58" t="str">
        <f>'DATA US'!D148</f>
        <v>MUHAMMAD ALBANI FAHREZI</v>
      </c>
      <c r="D38" s="58">
        <f>'DATA US'!B148</f>
        <v>222310128</v>
      </c>
      <c r="E38" s="61" t="str">
        <f>'DATA US'!F148</f>
        <v>Bekasi</v>
      </c>
      <c r="F38" s="62" t="str">
        <f>'DATA US'!G148</f>
        <v xml:space="preserve"> 30 Januari 2007</v>
      </c>
      <c r="G38" s="63" t="s">
        <v>904</v>
      </c>
      <c r="H38" s="64" t="str">
        <f>'DATA US'!E148</f>
        <v>L</v>
      </c>
      <c r="I38" s="73">
        <v>84.987499999999997</v>
      </c>
      <c r="J38" s="73">
        <v>83.72</v>
      </c>
      <c r="K38" s="73">
        <v>88.08</v>
      </c>
      <c r="L38" s="73">
        <v>84.084999999999994</v>
      </c>
      <c r="M38" s="73">
        <v>83.5</v>
      </c>
      <c r="N38" s="73">
        <v>87.13</v>
      </c>
      <c r="O38" s="73">
        <v>80.5</v>
      </c>
      <c r="P38" s="73">
        <v>84</v>
      </c>
      <c r="Q38" s="73">
        <v>85</v>
      </c>
      <c r="R38" s="73">
        <v>81.5</v>
      </c>
      <c r="S38" s="73">
        <v>84</v>
      </c>
      <c r="T38" s="73">
        <v>83</v>
      </c>
      <c r="U38" s="73">
        <v>79.6666666666667</v>
      </c>
      <c r="V38" s="73">
        <v>84.727333333266699</v>
      </c>
      <c r="W38" s="73">
        <v>83.573452380936502</v>
      </c>
      <c r="X38" s="77">
        <v>82.903333333333293</v>
      </c>
      <c r="Y38" s="59" t="str">
        <f>'DATA US'!I148</f>
        <v>MARSUDI</v>
      </c>
      <c r="Z38" s="59" t="str">
        <f>'DATA US'!C148</f>
        <v>0076891945</v>
      </c>
      <c r="AA38" s="308" t="s">
        <v>1390</v>
      </c>
    </row>
    <row r="39" spans="1:27" ht="15.6">
      <c r="A39" s="56">
        <v>37</v>
      </c>
      <c r="B39" s="311"/>
      <c r="C39" s="58" t="str">
        <f>'DATA US'!D113</f>
        <v>MUHAMMAD KHOLIFI ILHAM</v>
      </c>
      <c r="D39" s="58">
        <f>'DATA US'!B113</f>
        <v>222310096</v>
      </c>
      <c r="E39" s="61" t="str">
        <f>'DATA US'!F113</f>
        <v>Bekasi</v>
      </c>
      <c r="F39" s="62" t="str">
        <f>'DATA US'!G113</f>
        <v xml:space="preserve"> 6 Maret 2007</v>
      </c>
      <c r="G39" s="63" t="s">
        <v>904</v>
      </c>
      <c r="H39" s="64" t="str">
        <f>'DATA US'!E113</f>
        <v>L</v>
      </c>
      <c r="I39" s="321">
        <v>85.38</v>
      </c>
      <c r="J39" s="321">
        <v>85.36</v>
      </c>
      <c r="K39" s="321">
        <v>89.46</v>
      </c>
      <c r="L39" s="321">
        <v>90.534999999999997</v>
      </c>
      <c r="M39" s="321">
        <v>87</v>
      </c>
      <c r="N39" s="321">
        <v>85.9</v>
      </c>
      <c r="O39" s="321">
        <v>83</v>
      </c>
      <c r="P39" s="321">
        <v>87.3</v>
      </c>
      <c r="Q39" s="321">
        <v>87</v>
      </c>
      <c r="R39" s="321">
        <v>82.5</v>
      </c>
      <c r="S39" s="321">
        <v>85</v>
      </c>
      <c r="T39" s="324">
        <v>85.5</v>
      </c>
      <c r="U39" s="324">
        <v>85.5</v>
      </c>
      <c r="V39" s="324">
        <v>87.367999999999995</v>
      </c>
      <c r="W39" s="324">
        <v>85.198690476190507</v>
      </c>
      <c r="X39" s="75">
        <v>61.897500000000001</v>
      </c>
      <c r="Y39" s="59" t="str">
        <f>'DATA US'!I113</f>
        <v>NIAN</v>
      </c>
      <c r="Z39" s="59" t="str">
        <f>'DATA US'!C113</f>
        <v>0071561555</v>
      </c>
      <c r="AA39" s="308" t="s">
        <v>1391</v>
      </c>
    </row>
    <row r="40" spans="1:27" ht="15.6">
      <c r="A40" s="56">
        <v>38</v>
      </c>
      <c r="C40" s="58" t="str">
        <f>'DATA US'!D144</f>
        <v>MUHAMMAD TAUPIQ NUR SALEH</v>
      </c>
      <c r="D40" s="58">
        <f>'DATA US'!B144</f>
        <v>222310130</v>
      </c>
      <c r="E40" s="61" t="str">
        <f>'DATA US'!F144</f>
        <v>Bekasi</v>
      </c>
      <c r="F40" s="62" t="str">
        <f>'DATA US'!G144</f>
        <v>23 Oktober 2007</v>
      </c>
      <c r="G40" s="63" t="s">
        <v>904</v>
      </c>
      <c r="H40" s="64" t="str">
        <f>'DATA US'!E144</f>
        <v>L</v>
      </c>
      <c r="I40" s="73">
        <v>84.1</v>
      </c>
      <c r="J40" s="73">
        <v>86.04</v>
      </c>
      <c r="K40" s="73">
        <v>85.17</v>
      </c>
      <c r="L40" s="73">
        <v>85.04</v>
      </c>
      <c r="M40" s="73">
        <v>84.5</v>
      </c>
      <c r="N40" s="73">
        <v>87.67</v>
      </c>
      <c r="O40" s="73">
        <v>81</v>
      </c>
      <c r="P40" s="73">
        <v>83.8</v>
      </c>
      <c r="Q40" s="73">
        <v>85</v>
      </c>
      <c r="R40" s="73">
        <v>81</v>
      </c>
      <c r="S40" s="73">
        <v>84</v>
      </c>
      <c r="T40" s="73">
        <v>84</v>
      </c>
      <c r="U40" s="73">
        <v>87</v>
      </c>
      <c r="V40" s="73">
        <v>82.984666666600006</v>
      </c>
      <c r="W40" s="325">
        <v>84.288968253952405</v>
      </c>
      <c r="X40" s="325">
        <v>82.825000000000003</v>
      </c>
      <c r="Y40" s="59" t="str">
        <f>'DATA US'!I144</f>
        <v>NURDIAN</v>
      </c>
      <c r="Z40" s="59" t="str">
        <f>'DATA US'!C144</f>
        <v>0078743168</v>
      </c>
      <c r="AA40" s="308" t="s">
        <v>1392</v>
      </c>
    </row>
    <row r="41" spans="1:27" ht="15.6">
      <c r="A41" s="56">
        <v>39</v>
      </c>
      <c r="C41" s="58" t="str">
        <f>'DATA US'!D149</f>
        <v>NABILAH</v>
      </c>
      <c r="D41" s="58">
        <f>'DATA US'!B149</f>
        <v>222310131</v>
      </c>
      <c r="E41" s="61" t="str">
        <f>'DATA US'!F149</f>
        <v>Bekasi</v>
      </c>
      <c r="F41" s="62" t="str">
        <f>'DATA US'!G149</f>
        <v>18 September 2007</v>
      </c>
      <c r="G41" s="63" t="s">
        <v>904</v>
      </c>
      <c r="H41" s="64" t="str">
        <f>'DATA US'!E149</f>
        <v>P</v>
      </c>
      <c r="I41" s="73">
        <v>83.54</v>
      </c>
      <c r="J41" s="73">
        <v>84.25</v>
      </c>
      <c r="K41" s="73">
        <v>85.95</v>
      </c>
      <c r="L41" s="73">
        <v>86.784999999999997</v>
      </c>
      <c r="M41" s="73">
        <v>84.5</v>
      </c>
      <c r="N41" s="73">
        <v>86.17</v>
      </c>
      <c r="O41" s="73">
        <v>80.5</v>
      </c>
      <c r="P41" s="73">
        <v>88.6</v>
      </c>
      <c r="Q41" s="73">
        <v>84.5</v>
      </c>
      <c r="R41" s="73">
        <v>80</v>
      </c>
      <c r="S41" s="73">
        <v>83</v>
      </c>
      <c r="T41" s="73">
        <v>83</v>
      </c>
      <c r="U41" s="73">
        <v>82.6666666666667</v>
      </c>
      <c r="V41" s="73">
        <v>84.175333333266707</v>
      </c>
      <c r="W41" s="73">
        <v>83.939682539666705</v>
      </c>
      <c r="X41" s="77">
        <v>83.061666666666696</v>
      </c>
      <c r="Y41" s="59" t="str">
        <f>'DATA US'!I149</f>
        <v>ANDAN</v>
      </c>
      <c r="Z41" s="59" t="str">
        <f>'DATA US'!C149</f>
        <v>0075569471</v>
      </c>
      <c r="AA41" s="308" t="s">
        <v>1393</v>
      </c>
    </row>
    <row r="42" spans="1:27" ht="15.6">
      <c r="A42" s="56">
        <v>40</v>
      </c>
      <c r="C42" s="58" t="str">
        <f>'DATA US'!D150</f>
        <v>NAYSILLA PUTRI SHAFERA</v>
      </c>
      <c r="D42" s="58">
        <f>'DATA US'!B150</f>
        <v>222310132</v>
      </c>
      <c r="E42" s="61" t="str">
        <f>'DATA US'!F150</f>
        <v>Bekasi</v>
      </c>
      <c r="F42" s="62" t="str">
        <f>'DATA US'!G150</f>
        <v>13 Juni 2007</v>
      </c>
      <c r="G42" s="63" t="s">
        <v>904</v>
      </c>
      <c r="H42" s="64" t="str">
        <f>'DATA US'!E150</f>
        <v>P</v>
      </c>
      <c r="I42" s="73">
        <v>83.05</v>
      </c>
      <c r="J42" s="73">
        <v>85.34</v>
      </c>
      <c r="K42" s="73">
        <v>85.91</v>
      </c>
      <c r="L42" s="73">
        <v>84.245000000000005</v>
      </c>
      <c r="M42" s="73">
        <v>84</v>
      </c>
      <c r="N42" s="73">
        <v>82.17</v>
      </c>
      <c r="O42" s="73">
        <v>82.5</v>
      </c>
      <c r="P42" s="73">
        <v>86.7</v>
      </c>
      <c r="Q42" s="73">
        <v>84</v>
      </c>
      <c r="R42" s="73">
        <v>79</v>
      </c>
      <c r="S42" s="73">
        <v>83.5</v>
      </c>
      <c r="T42" s="73">
        <v>84</v>
      </c>
      <c r="U42" s="73">
        <v>83.1666666666667</v>
      </c>
      <c r="V42" s="73">
        <v>85.009999999933299</v>
      </c>
      <c r="W42" s="73">
        <v>83.933174603158704</v>
      </c>
      <c r="X42" s="77">
        <v>83.631666666666703</v>
      </c>
      <c r="Y42" s="59" t="str">
        <f>'DATA US'!I150</f>
        <v>NAMUR</v>
      </c>
      <c r="Z42" s="59" t="str">
        <f>'DATA US'!C150</f>
        <v>0078588369</v>
      </c>
      <c r="AA42" s="308" t="s">
        <v>1394</v>
      </c>
    </row>
    <row r="43" spans="1:27" ht="15.6">
      <c r="A43" s="56">
        <v>41</v>
      </c>
      <c r="C43" s="58" t="str">
        <f>'DATA US'!D151</f>
        <v>NAZWAN ALFIANSYAHFA</v>
      </c>
      <c r="D43" s="58">
        <f>'DATA US'!B151</f>
        <v>222310133</v>
      </c>
      <c r="E43" s="61" t="str">
        <f>'DATA US'!F151</f>
        <v>Bekasi</v>
      </c>
      <c r="F43" s="62" t="str">
        <f>'DATA US'!G151</f>
        <v>19 April 2007</v>
      </c>
      <c r="G43" s="63" t="s">
        <v>904</v>
      </c>
      <c r="H43" s="64" t="str">
        <f>'DATA US'!E151</f>
        <v>L</v>
      </c>
      <c r="I43" s="73">
        <v>84.25</v>
      </c>
      <c r="J43" s="73">
        <v>83.47</v>
      </c>
      <c r="K43" s="73">
        <v>86.02</v>
      </c>
      <c r="L43" s="73">
        <v>82.26</v>
      </c>
      <c r="M43" s="73">
        <v>82</v>
      </c>
      <c r="N43" s="73">
        <v>87.88</v>
      </c>
      <c r="O43" s="73">
        <v>82.5</v>
      </c>
      <c r="P43" s="73">
        <v>86.7</v>
      </c>
      <c r="Q43" s="73">
        <v>85</v>
      </c>
      <c r="R43" s="73">
        <v>78.5</v>
      </c>
      <c r="S43" s="73">
        <v>81.5</v>
      </c>
      <c r="T43" s="73">
        <v>83</v>
      </c>
      <c r="U43" s="73">
        <v>81.8333333333333</v>
      </c>
      <c r="V43" s="73">
        <v>82.397999999933305</v>
      </c>
      <c r="W43" s="73">
        <v>83.022222222206395</v>
      </c>
      <c r="X43" s="77">
        <v>82.896666666666704</v>
      </c>
      <c r="Y43" s="59" t="str">
        <f>'DATA US'!I151</f>
        <v>RO'I MAULANA</v>
      </c>
      <c r="Z43" s="59" t="str">
        <f>'DATA US'!C151</f>
        <v>0072030963</v>
      </c>
      <c r="AA43" s="327" t="s">
        <v>1395</v>
      </c>
    </row>
    <row r="44" spans="1:27" ht="15.6">
      <c r="A44" s="56">
        <v>42</v>
      </c>
      <c r="B44" s="315"/>
      <c r="C44" s="58" t="str">
        <f>'DATA US'!D114</f>
        <v>NITA NATALIA</v>
      </c>
      <c r="D44" s="58">
        <f>'DATA US'!B114</f>
        <v>222310097</v>
      </c>
      <c r="E44" s="61" t="str">
        <f>'DATA US'!F114</f>
        <v>Bekasi</v>
      </c>
      <c r="F44" s="62" t="str">
        <f>'DATA US'!G114</f>
        <v>16 Agustus 2008</v>
      </c>
      <c r="G44" s="63" t="s">
        <v>904</v>
      </c>
      <c r="H44" s="64" t="str">
        <f>'DATA US'!E114</f>
        <v>P</v>
      </c>
      <c r="I44" s="321">
        <v>84.87</v>
      </c>
      <c r="J44" s="321">
        <v>84.02</v>
      </c>
      <c r="K44" s="321">
        <v>89.66</v>
      </c>
      <c r="L44" s="321">
        <v>89.91</v>
      </c>
      <c r="M44" s="321">
        <v>85.5</v>
      </c>
      <c r="N44" s="321">
        <v>88.64</v>
      </c>
      <c r="O44" s="321">
        <v>83</v>
      </c>
      <c r="P44" s="321">
        <v>87.2</v>
      </c>
      <c r="Q44" s="321">
        <v>83.5</v>
      </c>
      <c r="R44" s="321">
        <v>80.5</v>
      </c>
      <c r="S44" s="321">
        <v>83.5</v>
      </c>
      <c r="T44" s="324">
        <v>84</v>
      </c>
      <c r="U44" s="324">
        <v>85.3333333333333</v>
      </c>
      <c r="V44" s="324">
        <v>87.212000000000003</v>
      </c>
      <c r="W44" s="324">
        <v>85.797499999999999</v>
      </c>
      <c r="X44" s="76">
        <v>85.387500000000003</v>
      </c>
      <c r="Y44" s="59" t="str">
        <f>'DATA US'!I114</f>
        <v>YATI OKTAVIANI</v>
      </c>
      <c r="Z44" s="59" t="str">
        <f>'DATA US'!C114</f>
        <v>0087401174</v>
      </c>
      <c r="AA44" s="308" t="s">
        <v>1396</v>
      </c>
    </row>
    <row r="45" spans="1:27" ht="15.6">
      <c r="A45" s="56">
        <v>43</v>
      </c>
      <c r="B45" s="311"/>
      <c r="C45" s="58" t="str">
        <f>'DATA US'!D115</f>
        <v>OKTAVIONA SAFITRI</v>
      </c>
      <c r="D45" s="58">
        <f>'DATA US'!B115</f>
        <v>222310143</v>
      </c>
      <c r="E45" s="61" t="str">
        <f>'DATA US'!F115</f>
        <v xml:space="preserve"> Bekasi</v>
      </c>
      <c r="F45" s="62" t="str">
        <f>'DATA US'!G115</f>
        <v xml:space="preserve"> 12 Oktober 2007</v>
      </c>
      <c r="G45" s="63" t="s">
        <v>904</v>
      </c>
      <c r="H45" s="64" t="str">
        <f>'DATA US'!E115</f>
        <v>P</v>
      </c>
      <c r="I45" s="321">
        <v>83.2</v>
      </c>
      <c r="J45" s="321">
        <v>82.5</v>
      </c>
      <c r="K45" s="321">
        <v>87.03</v>
      </c>
      <c r="L45" s="321">
        <v>82.805000000000007</v>
      </c>
      <c r="M45" s="321">
        <v>85.5</v>
      </c>
      <c r="N45" s="321">
        <v>83.23</v>
      </c>
      <c r="O45" s="321">
        <v>82</v>
      </c>
      <c r="P45" s="321">
        <v>83.5</v>
      </c>
      <c r="Q45" s="321">
        <v>82.5</v>
      </c>
      <c r="R45" s="321">
        <v>78.5</v>
      </c>
      <c r="S45" s="321">
        <v>83.5</v>
      </c>
      <c r="T45" s="324">
        <v>84</v>
      </c>
      <c r="U45" s="324">
        <v>79.8333333333333</v>
      </c>
      <c r="V45" s="324">
        <v>84.625333333333302</v>
      </c>
      <c r="W45" s="324">
        <v>83.087817460317495</v>
      </c>
      <c r="X45" s="75">
        <v>83.952500000000001</v>
      </c>
      <c r="Y45" s="59" t="str">
        <f>'DATA US'!I115</f>
        <v>NAMUN NURYANA</v>
      </c>
      <c r="Z45" s="59" t="str">
        <f>'DATA US'!C115</f>
        <v>0072009593</v>
      </c>
      <c r="AA45" s="308" t="s">
        <v>1397</v>
      </c>
    </row>
    <row r="46" spans="1:27" ht="15.6">
      <c r="A46" s="56">
        <v>44</v>
      </c>
      <c r="B46" s="311"/>
      <c r="C46" s="58" t="str">
        <f>'DATA US'!D116</f>
        <v>RAHAYU OKTAFIANI</v>
      </c>
      <c r="D46" s="58">
        <f>'DATA US'!B116</f>
        <v>222310098</v>
      </c>
      <c r="E46" s="61" t="str">
        <f>'DATA US'!F116</f>
        <v>Bekasi</v>
      </c>
      <c r="F46" s="62" t="str">
        <f>'DATA US'!G116</f>
        <v>4 Oktober 2007</v>
      </c>
      <c r="G46" s="63" t="s">
        <v>904</v>
      </c>
      <c r="H46" s="64" t="str">
        <f>'DATA US'!E116</f>
        <v>P</v>
      </c>
      <c r="I46" s="321">
        <v>84.987499999999997</v>
      </c>
      <c r="J46" s="321">
        <v>85.06</v>
      </c>
      <c r="K46" s="321">
        <v>88.08</v>
      </c>
      <c r="L46" s="321">
        <v>90.22</v>
      </c>
      <c r="M46" s="321">
        <v>85.5</v>
      </c>
      <c r="N46" s="321">
        <v>91.54</v>
      </c>
      <c r="O46" s="321">
        <v>82.5</v>
      </c>
      <c r="P46" s="321">
        <v>87.2</v>
      </c>
      <c r="Q46" s="321">
        <v>85</v>
      </c>
      <c r="R46" s="321">
        <v>79</v>
      </c>
      <c r="S46" s="321">
        <v>84</v>
      </c>
      <c r="T46" s="324">
        <v>84</v>
      </c>
      <c r="U46" s="324">
        <v>83.3333333333333</v>
      </c>
      <c r="V46" s="324">
        <v>86.075999999999993</v>
      </c>
      <c r="W46" s="324">
        <v>85.323015873015905</v>
      </c>
      <c r="X46" s="75">
        <v>84.315833333333302</v>
      </c>
      <c r="Y46" s="59" t="str">
        <f>'DATA US'!I116</f>
        <v>ADON</v>
      </c>
      <c r="Z46" s="59" t="str">
        <f>'DATA US'!C116</f>
        <v>0071571646</v>
      </c>
      <c r="AA46" s="308" t="s">
        <v>1398</v>
      </c>
    </row>
    <row r="47" spans="1:27" ht="15.6">
      <c r="A47" s="56">
        <v>45</v>
      </c>
      <c r="B47" s="311"/>
      <c r="C47" s="58" t="str">
        <f>'DATA US'!D117</f>
        <v>RAHMAWATI DEWI</v>
      </c>
      <c r="D47" s="58">
        <f>'DATA US'!B117</f>
        <v>222310099</v>
      </c>
      <c r="E47" s="61" t="str">
        <f>'DATA US'!F117</f>
        <v>Bekasi</v>
      </c>
      <c r="F47" s="62" t="str">
        <f>'DATA US'!G117</f>
        <v xml:space="preserve"> 4 Juli 2007</v>
      </c>
      <c r="G47" s="63" t="s">
        <v>904</v>
      </c>
      <c r="H47" s="64" t="str">
        <f>'DATA US'!E117</f>
        <v>P</v>
      </c>
      <c r="I47" s="321">
        <v>85.39</v>
      </c>
      <c r="J47" s="321">
        <v>86.16</v>
      </c>
      <c r="K47" s="321">
        <v>90.09</v>
      </c>
      <c r="L47" s="321">
        <v>90.51</v>
      </c>
      <c r="M47" s="321">
        <v>88</v>
      </c>
      <c r="N47" s="321">
        <v>90.34</v>
      </c>
      <c r="O47" s="321">
        <v>84.5</v>
      </c>
      <c r="P47" s="321">
        <v>87.4</v>
      </c>
      <c r="Q47" s="321">
        <v>85</v>
      </c>
      <c r="R47" s="321">
        <v>85</v>
      </c>
      <c r="S47" s="321">
        <v>85</v>
      </c>
      <c r="T47" s="324">
        <v>85</v>
      </c>
      <c r="U47" s="324">
        <v>85.8333333333333</v>
      </c>
      <c r="V47" s="324">
        <v>88.237333333333297</v>
      </c>
      <c r="W47" s="324">
        <v>86.984960317460306</v>
      </c>
      <c r="X47" s="75">
        <v>85.607500000000002</v>
      </c>
      <c r="Y47" s="59" t="str">
        <f>'DATA US'!I117</f>
        <v>ROHMAT</v>
      </c>
      <c r="Z47" s="59" t="str">
        <f>'DATA US'!C117</f>
        <v>0071682395</v>
      </c>
      <c r="AA47" s="308" t="s">
        <v>1399</v>
      </c>
    </row>
    <row r="48" spans="1:27" ht="15.6">
      <c r="A48" s="56">
        <v>46</v>
      </c>
      <c r="C48" s="58" t="str">
        <f>'DATA US'!D152</f>
        <v>RANGGA SURYANA</v>
      </c>
      <c r="D48" s="58">
        <f>'DATA US'!B152</f>
        <v>222310134</v>
      </c>
      <c r="E48" s="61" t="str">
        <f>'DATA US'!F152</f>
        <v>Bekasi</v>
      </c>
      <c r="F48" s="62" t="str">
        <f>'DATA US'!G152</f>
        <v>9 Januari 2007</v>
      </c>
      <c r="G48" s="63" t="s">
        <v>904</v>
      </c>
      <c r="H48" s="64" t="str">
        <f>'DATA US'!E152</f>
        <v>L</v>
      </c>
      <c r="I48" s="73">
        <v>85.68</v>
      </c>
      <c r="J48" s="73">
        <v>88.26</v>
      </c>
      <c r="K48" s="73">
        <v>88.91</v>
      </c>
      <c r="L48" s="73">
        <v>86.954999999999998</v>
      </c>
      <c r="M48" s="73">
        <v>87</v>
      </c>
      <c r="N48" s="73">
        <v>87.3</v>
      </c>
      <c r="O48" s="73">
        <v>83</v>
      </c>
      <c r="P48" s="73">
        <v>84.1</v>
      </c>
      <c r="Q48" s="73">
        <v>87</v>
      </c>
      <c r="R48" s="73">
        <v>83</v>
      </c>
      <c r="S48" s="73">
        <v>86</v>
      </c>
      <c r="T48" s="73">
        <v>86</v>
      </c>
      <c r="U48" s="73">
        <v>89.5</v>
      </c>
      <c r="V48" s="73">
        <v>86.923333333266697</v>
      </c>
      <c r="W48" s="322">
        <v>86.731825396809498</v>
      </c>
      <c r="X48" s="326">
        <v>85.046666666666695</v>
      </c>
      <c r="Y48" s="59" t="str">
        <f>'DATA US'!I152</f>
        <v>AANG SURYANA</v>
      </c>
      <c r="Z48" s="59" t="str">
        <f>'DATA US'!C152</f>
        <v>0077060831</v>
      </c>
      <c r="AA48" s="308" t="s">
        <v>1400</v>
      </c>
    </row>
    <row r="49" spans="1:27" s="2" customFormat="1" ht="15.6">
      <c r="A49" s="56">
        <v>47</v>
      </c>
      <c r="B49"/>
      <c r="C49" s="58" t="str">
        <f>'DATA US'!D153</f>
        <v>RIKO JULIANTO</v>
      </c>
      <c r="D49" s="58">
        <f>'DATA US'!B153</f>
        <v>222310135</v>
      </c>
      <c r="E49" s="61" t="str">
        <f>'DATA US'!F153</f>
        <v>Bekasi</v>
      </c>
      <c r="F49" s="62" t="str">
        <f>'DATA US'!G153</f>
        <v>25 Juli 2006</v>
      </c>
      <c r="G49" s="63" t="s">
        <v>904</v>
      </c>
      <c r="H49" s="64" t="str">
        <f>'DATA US'!E153</f>
        <v>L</v>
      </c>
      <c r="I49" s="73">
        <v>82.98</v>
      </c>
      <c r="J49" s="73">
        <v>83.95</v>
      </c>
      <c r="K49" s="73">
        <v>86.66</v>
      </c>
      <c r="L49" s="73">
        <v>82.51</v>
      </c>
      <c r="M49" s="73">
        <v>83.5</v>
      </c>
      <c r="N49" s="73">
        <v>83.57</v>
      </c>
      <c r="O49" s="73">
        <v>81</v>
      </c>
      <c r="P49" s="73">
        <v>87.3</v>
      </c>
      <c r="Q49" s="73">
        <v>82.5</v>
      </c>
      <c r="R49" s="73">
        <v>79.5</v>
      </c>
      <c r="S49" s="73">
        <v>84</v>
      </c>
      <c r="T49" s="73">
        <v>84</v>
      </c>
      <c r="U49" s="73">
        <v>86.1666666666667</v>
      </c>
      <c r="V49" s="73">
        <v>82.3226666666</v>
      </c>
      <c r="W49" s="73">
        <v>83.541746031730199</v>
      </c>
      <c r="X49" s="77">
        <v>82.793333333333294</v>
      </c>
      <c r="Y49" s="59" t="str">
        <f>'DATA US'!I153</f>
        <v>ADE HENDRI</v>
      </c>
      <c r="Z49" s="59" t="str">
        <f>'DATA US'!C153</f>
        <v>0066712083</v>
      </c>
      <c r="AA49" s="308" t="s">
        <v>1401</v>
      </c>
    </row>
    <row r="50" spans="1:27" ht="15.6">
      <c r="A50" s="56">
        <v>48</v>
      </c>
      <c r="B50" s="311"/>
      <c r="C50" s="58" t="str">
        <f>'DATA US'!D118</f>
        <v>RISA MELINDA</v>
      </c>
      <c r="D50" s="58">
        <f>'DATA US'!B118</f>
        <v>222310100</v>
      </c>
      <c r="E50" s="61" t="str">
        <f>'DATA US'!F118</f>
        <v>Bekasi</v>
      </c>
      <c r="F50" s="62" t="str">
        <f>'DATA US'!G118</f>
        <v>24 Mei 2007</v>
      </c>
      <c r="G50" s="63" t="s">
        <v>904</v>
      </c>
      <c r="H50" s="64" t="str">
        <f>'DATA US'!E118</f>
        <v>P</v>
      </c>
      <c r="I50" s="321">
        <v>84.84</v>
      </c>
      <c r="J50" s="321">
        <v>84.8</v>
      </c>
      <c r="K50" s="321">
        <v>87.48</v>
      </c>
      <c r="L50" s="321">
        <v>91.805000000000007</v>
      </c>
      <c r="M50" s="321">
        <v>86.5</v>
      </c>
      <c r="N50" s="321">
        <v>90.4</v>
      </c>
      <c r="O50" s="321">
        <v>82.5</v>
      </c>
      <c r="P50" s="321">
        <v>81.599999999999994</v>
      </c>
      <c r="Q50" s="321">
        <v>84.5</v>
      </c>
      <c r="R50" s="321">
        <v>83</v>
      </c>
      <c r="S50" s="321">
        <v>84.5</v>
      </c>
      <c r="T50" s="324">
        <v>84</v>
      </c>
      <c r="U50" s="324">
        <v>83.5</v>
      </c>
      <c r="V50" s="324">
        <v>88.125333333333302</v>
      </c>
      <c r="W50" s="324">
        <v>85.808531746031704</v>
      </c>
      <c r="X50" s="75">
        <v>84.927499999999995</v>
      </c>
      <c r="Y50" s="59" t="str">
        <f>'DATA US'!I118</f>
        <v>SAKUM</v>
      </c>
      <c r="Z50" s="59" t="str">
        <f>'DATA US'!C118</f>
        <v>0077401437</v>
      </c>
      <c r="AA50" s="308" t="s">
        <v>1402</v>
      </c>
    </row>
    <row r="51" spans="1:27" ht="15.6">
      <c r="A51" s="56">
        <v>49</v>
      </c>
      <c r="B51" s="311"/>
      <c r="C51" s="58" t="str">
        <f>'DATA US'!D119</f>
        <v>RISKA AULIA ANASTASYA</v>
      </c>
      <c r="D51" s="58">
        <f>'DATA US'!B119</f>
        <v>222310101</v>
      </c>
      <c r="E51" s="61" t="str">
        <f>'DATA US'!F119</f>
        <v>Bekasi</v>
      </c>
      <c r="F51" s="62" t="str">
        <f>'DATA US'!G119</f>
        <v xml:space="preserve"> 14 November 2006</v>
      </c>
      <c r="G51" s="63" t="s">
        <v>904</v>
      </c>
      <c r="H51" s="64" t="str">
        <f>'DATA US'!E119</f>
        <v>P</v>
      </c>
      <c r="I51" s="321">
        <v>82.45</v>
      </c>
      <c r="J51" s="321">
        <v>82.92</v>
      </c>
      <c r="K51" s="321">
        <v>85.19</v>
      </c>
      <c r="L51" s="321">
        <v>88.284999999999997</v>
      </c>
      <c r="M51" s="321">
        <v>84</v>
      </c>
      <c r="N51" s="321">
        <v>84.4</v>
      </c>
      <c r="O51" s="321">
        <v>80.5</v>
      </c>
      <c r="P51" s="321">
        <v>83.7</v>
      </c>
      <c r="Q51" s="321">
        <v>83</v>
      </c>
      <c r="R51" s="321">
        <v>79.5</v>
      </c>
      <c r="S51" s="321">
        <v>83</v>
      </c>
      <c r="T51" s="324">
        <v>82</v>
      </c>
      <c r="U51" s="324">
        <v>81.3333333333333</v>
      </c>
      <c r="V51" s="324">
        <v>86.027333333333303</v>
      </c>
      <c r="W51" s="324">
        <v>83.689801587301602</v>
      </c>
      <c r="X51" s="75">
        <v>84.404166666666697</v>
      </c>
      <c r="Y51" s="59" t="str">
        <f>'DATA US'!I119</f>
        <v>AYAH</v>
      </c>
      <c r="Z51" s="59" t="str">
        <f>'DATA US'!C119</f>
        <v>0064822724</v>
      </c>
      <c r="AA51" s="308" t="s">
        <v>1403</v>
      </c>
    </row>
    <row r="52" spans="1:27" ht="15.6">
      <c r="A52" s="56">
        <v>50</v>
      </c>
      <c r="B52" s="311"/>
      <c r="C52" s="58" t="str">
        <f>'DATA US'!D120</f>
        <v>RISMA JULIYANTI</v>
      </c>
      <c r="D52" s="58">
        <f>'DATA US'!B120</f>
        <v>222310102</v>
      </c>
      <c r="E52" s="61" t="str">
        <f>'DATA US'!F120</f>
        <v>Bekasi</v>
      </c>
      <c r="F52" s="62" t="str">
        <f>'DATA US'!G120</f>
        <v>24 Juli 2007</v>
      </c>
      <c r="G52" s="63" t="s">
        <v>904</v>
      </c>
      <c r="H52" s="64" t="str">
        <f>'DATA US'!E120</f>
        <v>P</v>
      </c>
      <c r="I52" s="321">
        <v>84.16</v>
      </c>
      <c r="J52" s="321">
        <v>83.18</v>
      </c>
      <c r="K52" s="321">
        <v>86.46</v>
      </c>
      <c r="L52" s="321">
        <v>89.564999999999998</v>
      </c>
      <c r="M52" s="321">
        <v>83</v>
      </c>
      <c r="N52" s="321">
        <v>83.18</v>
      </c>
      <c r="O52" s="321">
        <v>85</v>
      </c>
      <c r="P52" s="321">
        <v>84.3</v>
      </c>
      <c r="Q52" s="321">
        <v>82.5</v>
      </c>
      <c r="R52" s="321">
        <v>79</v>
      </c>
      <c r="S52" s="321">
        <v>82</v>
      </c>
      <c r="T52" s="324">
        <v>82</v>
      </c>
      <c r="U52" s="324">
        <v>83.5</v>
      </c>
      <c r="V52" s="324">
        <v>83.467333333333301</v>
      </c>
      <c r="W52" s="324">
        <v>83.589087301587298</v>
      </c>
      <c r="X52" s="75">
        <v>83.189166666666694</v>
      </c>
      <c r="Y52" s="59" t="str">
        <f>'DATA US'!I120</f>
        <v>ENDI</v>
      </c>
      <c r="Z52" s="59" t="str">
        <f>'DATA US'!C120</f>
        <v>0078593346</v>
      </c>
      <c r="AA52" s="308" t="s">
        <v>1404</v>
      </c>
    </row>
    <row r="53" spans="1:27" ht="15.6">
      <c r="A53" s="56">
        <v>51</v>
      </c>
      <c r="C53" s="58" t="str">
        <f>'DATA US'!D154</f>
        <v>SALSA BILA MAHMUD</v>
      </c>
      <c r="D53" s="58">
        <f>'DATA US'!B154</f>
        <v>222310136</v>
      </c>
      <c r="E53" s="61" t="str">
        <f>'DATA US'!F154</f>
        <v>Bekasi</v>
      </c>
      <c r="F53" s="62" t="str">
        <f>'DATA US'!G154</f>
        <v>21 Maret 2007</v>
      </c>
      <c r="G53" s="63" t="s">
        <v>904</v>
      </c>
      <c r="H53" s="64" t="str">
        <f>'DATA US'!E154</f>
        <v>P</v>
      </c>
      <c r="I53" s="73">
        <v>85.26</v>
      </c>
      <c r="J53" s="73">
        <v>83.9</v>
      </c>
      <c r="K53" s="73">
        <v>85.93</v>
      </c>
      <c r="L53" s="73">
        <v>87.04</v>
      </c>
      <c r="M53" s="73">
        <v>85</v>
      </c>
      <c r="N53" s="73">
        <v>84.94</v>
      </c>
      <c r="O53" s="73">
        <v>80.5</v>
      </c>
      <c r="P53" s="73">
        <v>85</v>
      </c>
      <c r="Q53" s="73">
        <v>82.5</v>
      </c>
      <c r="R53" s="73">
        <v>79</v>
      </c>
      <c r="S53" s="73">
        <v>83.5</v>
      </c>
      <c r="T53" s="73">
        <v>83</v>
      </c>
      <c r="U53" s="73">
        <v>81.8333333333333</v>
      </c>
      <c r="V53" s="73">
        <v>85.258000000066701</v>
      </c>
      <c r="W53" s="73">
        <v>83.831825396841296</v>
      </c>
      <c r="X53" s="77">
        <v>83.108333333333306</v>
      </c>
      <c r="Y53" s="59" t="str">
        <f>'DATA US'!I154</f>
        <v xml:space="preserve">AMIR MAHMUD </v>
      </c>
      <c r="Z53" s="59" t="str">
        <f>'DATA US'!C154</f>
        <v>0076747595</v>
      </c>
      <c r="AA53" s="308" t="s">
        <v>1405</v>
      </c>
    </row>
    <row r="54" spans="1:27" ht="15.6">
      <c r="A54" s="56">
        <v>52</v>
      </c>
      <c r="B54" s="59"/>
      <c r="C54" s="58" t="str">
        <f>'DATA US'!D121</f>
        <v>SIGIT ARDI NUGROHO</v>
      </c>
      <c r="D54" s="58">
        <f>'DATA US'!B121</f>
        <v>222310103</v>
      </c>
      <c r="E54" s="61" t="str">
        <f>'DATA US'!F121</f>
        <v>Bekasi</v>
      </c>
      <c r="F54" s="62">
        <f>'DATA US'!G121</f>
        <v>39406</v>
      </c>
      <c r="G54" s="63" t="s">
        <v>904</v>
      </c>
      <c r="H54" s="64" t="str">
        <f>'DATA US'!E121</f>
        <v>L</v>
      </c>
      <c r="I54" s="321">
        <v>82.99</v>
      </c>
      <c r="J54" s="321">
        <v>82.26</v>
      </c>
      <c r="K54" s="321">
        <v>87.29</v>
      </c>
      <c r="L54" s="321">
        <v>82.23</v>
      </c>
      <c r="M54" s="321">
        <v>83</v>
      </c>
      <c r="N54" s="321">
        <v>80.7</v>
      </c>
      <c r="O54" s="321">
        <v>84</v>
      </c>
      <c r="P54" s="321">
        <v>87.1</v>
      </c>
      <c r="Q54" s="321">
        <v>81.5</v>
      </c>
      <c r="R54" s="321">
        <v>79</v>
      </c>
      <c r="S54" s="321">
        <v>82.5</v>
      </c>
      <c r="T54" s="324">
        <v>83</v>
      </c>
      <c r="U54" s="324">
        <v>80.3333333333333</v>
      </c>
      <c r="V54" s="324">
        <v>83.460666666666697</v>
      </c>
      <c r="W54" s="324">
        <v>82.768452380952397</v>
      </c>
      <c r="X54" s="75">
        <v>84.264166666666696</v>
      </c>
      <c r="Y54" s="59" t="str">
        <f>'DATA US'!I121</f>
        <v>PUAD</v>
      </c>
      <c r="Z54" s="59" t="str">
        <f>'DATA US'!C121</f>
        <v>0078558399</v>
      </c>
      <c r="AA54" s="308" t="s">
        <v>1406</v>
      </c>
    </row>
    <row r="55" spans="1:27" ht="15.6">
      <c r="A55" s="56">
        <v>53</v>
      </c>
      <c r="C55" s="58" t="str">
        <f>'DATA US'!D155</f>
        <v>SILVIA NUROHMAH</v>
      </c>
      <c r="D55" s="58">
        <f>'DATA US'!B155</f>
        <v>222310137</v>
      </c>
      <c r="E55" s="61" t="str">
        <f>'DATA US'!F155</f>
        <v>Bekasi</v>
      </c>
      <c r="F55" s="62" t="str">
        <f>'DATA US'!G155</f>
        <v>20 Agustus 2007</v>
      </c>
      <c r="G55" s="63" t="s">
        <v>904</v>
      </c>
      <c r="H55" s="64" t="str">
        <f>'DATA US'!E155</f>
        <v>P</v>
      </c>
      <c r="I55" s="73">
        <v>86.48</v>
      </c>
      <c r="J55" s="73">
        <v>88.04</v>
      </c>
      <c r="K55" s="73">
        <v>89.91</v>
      </c>
      <c r="L55" s="73">
        <v>91.344999999999999</v>
      </c>
      <c r="M55" s="73">
        <v>87.5</v>
      </c>
      <c r="N55" s="73">
        <v>90.72</v>
      </c>
      <c r="O55" s="73">
        <v>83.5</v>
      </c>
      <c r="P55" s="73">
        <v>87</v>
      </c>
      <c r="Q55" s="73">
        <v>86</v>
      </c>
      <c r="R55" s="73">
        <v>83.5</v>
      </c>
      <c r="S55" s="73">
        <v>86.5</v>
      </c>
      <c r="T55" s="73">
        <v>86</v>
      </c>
      <c r="U55" s="73">
        <v>90</v>
      </c>
      <c r="V55" s="73">
        <v>87.426000000066693</v>
      </c>
      <c r="W55" s="73">
        <v>87.574603174619</v>
      </c>
      <c r="X55" s="77">
        <v>85.441666666666706</v>
      </c>
      <c r="Y55" s="59" t="str">
        <f>'DATA US'!I155</f>
        <v>MA'MUN</v>
      </c>
      <c r="Z55" s="59" t="str">
        <f>'DATA US'!C155</f>
        <v>0078968270</v>
      </c>
      <c r="AA55" s="308" t="s">
        <v>1407</v>
      </c>
    </row>
    <row r="56" spans="1:27" ht="15.6">
      <c r="A56" s="56">
        <v>54</v>
      </c>
      <c r="C56" s="58" t="str">
        <f>'DATA US'!D156</f>
        <v>SINTIA LESTARI</v>
      </c>
      <c r="D56" s="58">
        <f>'DATA US'!B156</f>
        <v>222310138</v>
      </c>
      <c r="E56" s="61" t="str">
        <f>'DATA US'!F156</f>
        <v>Bekasi</v>
      </c>
      <c r="F56" s="62" t="str">
        <f>'DATA US'!G156</f>
        <v>11 Mei 2007</v>
      </c>
      <c r="G56" s="63" t="s">
        <v>904</v>
      </c>
      <c r="H56" s="64" t="str">
        <f>'DATA US'!E156</f>
        <v>P</v>
      </c>
      <c r="I56" s="73">
        <v>83.56</v>
      </c>
      <c r="J56" s="73">
        <v>84.26</v>
      </c>
      <c r="K56" s="73">
        <v>87.11</v>
      </c>
      <c r="L56" s="73">
        <v>82.68</v>
      </c>
      <c r="M56" s="73">
        <v>83.5</v>
      </c>
      <c r="N56" s="73">
        <v>85.55</v>
      </c>
      <c r="O56" s="73">
        <v>81.5</v>
      </c>
      <c r="P56" s="73">
        <v>82.2</v>
      </c>
      <c r="Q56" s="73">
        <v>83</v>
      </c>
      <c r="R56" s="73">
        <v>80.5</v>
      </c>
      <c r="S56" s="73">
        <v>83</v>
      </c>
      <c r="T56" s="73">
        <v>84</v>
      </c>
      <c r="U56" s="73">
        <v>83.8333333333333</v>
      </c>
      <c r="V56" s="73">
        <v>85.898000000066702</v>
      </c>
      <c r="W56" s="73">
        <v>84.097539682555606</v>
      </c>
      <c r="X56" s="77">
        <v>84.198333333333295</v>
      </c>
      <c r="Y56" s="59" t="str">
        <f>'DATA US'!I156</f>
        <v>SANO</v>
      </c>
      <c r="Z56" s="59" t="str">
        <f>'DATA US'!C156</f>
        <v>0076329241</v>
      </c>
      <c r="AA56" s="308" t="s">
        <v>1408</v>
      </c>
    </row>
    <row r="57" spans="1:27" ht="15.6">
      <c r="A57" s="56">
        <v>55</v>
      </c>
      <c r="B57" s="59"/>
      <c r="C57" s="58" t="str">
        <f>'DATA US'!D122</f>
        <v>SITI JUMALA SARI</v>
      </c>
      <c r="D57" s="58">
        <f>'DATA US'!B122</f>
        <v>222310104</v>
      </c>
      <c r="E57" s="61" t="str">
        <f>'DATA US'!F122</f>
        <v>Brebes</v>
      </c>
      <c r="F57" s="62" t="str">
        <f>'DATA US'!G122</f>
        <v>27 Agustus 2007</v>
      </c>
      <c r="G57" s="63" t="s">
        <v>904</v>
      </c>
      <c r="H57" s="64" t="str">
        <f>'DATA US'!E122</f>
        <v>P</v>
      </c>
      <c r="I57" s="321">
        <v>88.35</v>
      </c>
      <c r="J57" s="321">
        <v>87.84</v>
      </c>
      <c r="K57" s="321">
        <v>91.2</v>
      </c>
      <c r="L57" s="321">
        <v>91.974999999999994</v>
      </c>
      <c r="M57" s="321">
        <v>86.5</v>
      </c>
      <c r="N57" s="321">
        <v>93.07</v>
      </c>
      <c r="O57" s="321">
        <v>85.5</v>
      </c>
      <c r="P57" s="321">
        <v>84.6</v>
      </c>
      <c r="Q57" s="321">
        <v>86.5</v>
      </c>
      <c r="R57" s="321">
        <v>85.5</v>
      </c>
      <c r="S57" s="321">
        <v>87</v>
      </c>
      <c r="T57" s="324">
        <v>86</v>
      </c>
      <c r="U57" s="324">
        <v>86.5</v>
      </c>
      <c r="V57" s="324">
        <v>86.567333333333295</v>
      </c>
      <c r="W57" s="324">
        <v>87.195039682539701</v>
      </c>
      <c r="X57" s="75">
        <v>84.724166666666704</v>
      </c>
      <c r="Y57" s="59" t="str">
        <f>'DATA US'!I122</f>
        <v>RUSNALI</v>
      </c>
      <c r="Z57" s="59" t="str">
        <f>'DATA US'!C122</f>
        <v>00724077907</v>
      </c>
      <c r="AA57" s="308" t="s">
        <v>1409</v>
      </c>
    </row>
    <row r="58" spans="1:27" ht="15.6">
      <c r="A58" s="56">
        <v>56</v>
      </c>
      <c r="B58" s="59"/>
      <c r="C58" s="58" t="str">
        <f>'DATA US'!D123</f>
        <v>SITI NURPADILAH</v>
      </c>
      <c r="D58" s="58">
        <f>'DATA US'!B123</f>
        <v>222310105</v>
      </c>
      <c r="E58" s="61" t="str">
        <f>'DATA US'!F123</f>
        <v>Bekasi</v>
      </c>
      <c r="F58" s="62" t="str">
        <f>'DATA US'!G123</f>
        <v xml:space="preserve"> 12 September 2007</v>
      </c>
      <c r="G58" s="63" t="s">
        <v>904</v>
      </c>
      <c r="H58" s="64" t="str">
        <f>'DATA US'!E123</f>
        <v>P</v>
      </c>
      <c r="I58" s="321">
        <v>84.18</v>
      </c>
      <c r="J58" s="321">
        <v>84.04</v>
      </c>
      <c r="K58" s="321">
        <v>88.12</v>
      </c>
      <c r="L58" s="321">
        <v>80.739999999999995</v>
      </c>
      <c r="M58" s="321">
        <v>86.5</v>
      </c>
      <c r="N58" s="321">
        <v>83.85</v>
      </c>
      <c r="O58" s="321">
        <v>80.5</v>
      </c>
      <c r="P58" s="321">
        <v>83.4</v>
      </c>
      <c r="Q58" s="321">
        <v>84</v>
      </c>
      <c r="R58" s="321">
        <v>80</v>
      </c>
      <c r="S58" s="321">
        <v>83.5</v>
      </c>
      <c r="T58" s="324">
        <v>82</v>
      </c>
      <c r="U58" s="324">
        <v>81.8333333333333</v>
      </c>
      <c r="V58" s="324">
        <v>86.552000000000007</v>
      </c>
      <c r="W58" s="324">
        <v>83.976825396825404</v>
      </c>
      <c r="X58" s="75">
        <v>84.423333333333304</v>
      </c>
      <c r="Y58" s="59" t="str">
        <f>'DATA US'!I123</f>
        <v>ENDI KUSNADI</v>
      </c>
      <c r="Z58" s="59" t="str">
        <f>'DATA US'!C123</f>
        <v>0073412174</v>
      </c>
      <c r="AA58" s="308" t="s">
        <v>1410</v>
      </c>
    </row>
    <row r="59" spans="1:27" ht="15.6">
      <c r="A59" s="56">
        <v>57</v>
      </c>
      <c r="B59" s="59"/>
      <c r="C59" s="58" t="str">
        <f>'DATA US'!D124</f>
        <v>SRI MUTIARA</v>
      </c>
      <c r="D59" s="58">
        <f>'DATA US'!B124</f>
        <v>222310106</v>
      </c>
      <c r="E59" s="61" t="str">
        <f>'DATA US'!F124</f>
        <v>Bekasi</v>
      </c>
      <c r="F59" s="62" t="str">
        <f>'DATA US'!G124</f>
        <v>6 Februari 2007</v>
      </c>
      <c r="G59" s="63" t="s">
        <v>904</v>
      </c>
      <c r="H59" s="64" t="str">
        <f>'DATA US'!E124</f>
        <v>P</v>
      </c>
      <c r="I59" s="321">
        <v>84</v>
      </c>
      <c r="J59" s="321">
        <v>83.68</v>
      </c>
      <c r="K59" s="321">
        <v>87.46</v>
      </c>
      <c r="L59" s="321">
        <v>82.004999999999995</v>
      </c>
      <c r="M59" s="321">
        <v>85.5</v>
      </c>
      <c r="N59" s="321">
        <v>82.39</v>
      </c>
      <c r="O59" s="321">
        <v>80.5</v>
      </c>
      <c r="P59" s="321">
        <v>84.3</v>
      </c>
      <c r="Q59" s="321">
        <v>83.5</v>
      </c>
      <c r="R59" s="321">
        <v>80</v>
      </c>
      <c r="S59" s="321">
        <v>83</v>
      </c>
      <c r="T59" s="324">
        <v>82.5</v>
      </c>
      <c r="U59" s="324">
        <v>81.6666666666667</v>
      </c>
      <c r="V59" s="324">
        <v>85.825333333333305</v>
      </c>
      <c r="W59" s="324">
        <v>83.661507936507903</v>
      </c>
      <c r="X59" s="75">
        <v>83.93</v>
      </c>
      <c r="Y59" s="59" t="str">
        <f>'DATA US'!I124</f>
        <v>SAEPUL BAHRI</v>
      </c>
      <c r="Z59" s="59" t="str">
        <f>'DATA US'!C124</f>
        <v>0079544913</v>
      </c>
      <c r="AA59" s="308" t="s">
        <v>1411</v>
      </c>
    </row>
    <row r="60" spans="1:27" ht="15.6">
      <c r="A60" s="56">
        <v>58</v>
      </c>
      <c r="B60" s="59"/>
      <c r="C60" s="58" t="str">
        <f>'DATA US'!D125</f>
        <v>SYAHRUL GUNAWAN</v>
      </c>
      <c r="D60" s="58">
        <f>'DATA US'!B125</f>
        <v>222310107</v>
      </c>
      <c r="E60" s="61" t="str">
        <f>'DATA US'!F125</f>
        <v>Bekasi</v>
      </c>
      <c r="F60" s="62">
        <f>'DATA US'!G125</f>
        <v>39333</v>
      </c>
      <c r="G60" s="63" t="s">
        <v>904</v>
      </c>
      <c r="H60" s="64" t="str">
        <f>'DATA US'!E125</f>
        <v>L</v>
      </c>
      <c r="I60" s="321">
        <v>85.24</v>
      </c>
      <c r="J60" s="321">
        <v>85.04</v>
      </c>
      <c r="K60" s="321">
        <v>87.3</v>
      </c>
      <c r="L60" s="321">
        <v>88.11</v>
      </c>
      <c r="M60" s="321">
        <v>86</v>
      </c>
      <c r="N60" s="321">
        <v>89.52</v>
      </c>
      <c r="O60" s="321">
        <v>82.5</v>
      </c>
      <c r="P60" s="321">
        <v>87.8</v>
      </c>
      <c r="Q60" s="321">
        <v>85.5</v>
      </c>
      <c r="R60" s="321">
        <v>82</v>
      </c>
      <c r="S60" s="321">
        <v>83.5</v>
      </c>
      <c r="T60" s="321">
        <v>83</v>
      </c>
      <c r="U60" s="321">
        <v>85.1666666666667</v>
      </c>
      <c r="V60" s="321">
        <v>86.751999999999995</v>
      </c>
      <c r="W60" s="321">
        <v>85.731507936507995</v>
      </c>
      <c r="X60" s="75">
        <v>85.591666666666697</v>
      </c>
      <c r="Y60" s="59" t="str">
        <f>'DATA US'!I125</f>
        <v>KAMAN</v>
      </c>
      <c r="Z60" s="59" t="str">
        <f>'DATA US'!C125</f>
        <v>0078011149</v>
      </c>
      <c r="AA60" s="308" t="s">
        <v>1412</v>
      </c>
    </row>
    <row r="61" spans="1:27" ht="15.6">
      <c r="A61" s="56">
        <v>59</v>
      </c>
      <c r="C61" s="58" t="str">
        <f>'DATA US'!D157</f>
        <v>VILLY NUR SADELA</v>
      </c>
      <c r="D61" s="58">
        <f>'DATA US'!B157</f>
        <v>222310139</v>
      </c>
      <c r="E61" s="61" t="str">
        <f>'DATA US'!F157</f>
        <v>Bekasi</v>
      </c>
      <c r="F61" s="62" t="str">
        <f>'DATA US'!G157</f>
        <v xml:space="preserve"> 14 Mei 2007</v>
      </c>
      <c r="G61" s="63" t="s">
        <v>904</v>
      </c>
      <c r="H61" s="64" t="str">
        <f>'DATA US'!E157</f>
        <v>P</v>
      </c>
      <c r="I61" s="73">
        <v>85.5</v>
      </c>
      <c r="J61" s="73">
        <v>85.14</v>
      </c>
      <c r="K61" s="73">
        <v>85.75</v>
      </c>
      <c r="L61" s="73">
        <v>84.7</v>
      </c>
      <c r="M61" s="73">
        <v>84.5</v>
      </c>
      <c r="N61" s="73">
        <v>83.11</v>
      </c>
      <c r="O61" s="73">
        <v>81.5</v>
      </c>
      <c r="P61" s="73">
        <v>86.4</v>
      </c>
      <c r="Q61" s="73">
        <v>84</v>
      </c>
      <c r="R61" s="73">
        <v>79</v>
      </c>
      <c r="S61" s="73">
        <v>84</v>
      </c>
      <c r="T61" s="73">
        <v>84</v>
      </c>
      <c r="U61" s="73">
        <v>86.1666666666667</v>
      </c>
      <c r="V61" s="73">
        <v>82.799999999933306</v>
      </c>
      <c r="W61" s="73">
        <v>83.927222222206296</v>
      </c>
      <c r="X61" s="77">
        <v>82.371666666666698</v>
      </c>
      <c r="Y61" s="59" t="str">
        <f>'DATA US'!I157</f>
        <v>YUNUS PRIANTO</v>
      </c>
      <c r="Z61" s="59" t="str">
        <f>'DATA US'!C157</f>
        <v>0077784003</v>
      </c>
      <c r="AA61" s="308" t="s">
        <v>1413</v>
      </c>
    </row>
    <row r="62" spans="1:27" ht="15.6">
      <c r="A62" s="56">
        <v>60</v>
      </c>
      <c r="B62" s="59"/>
      <c r="C62" s="58" t="str">
        <f>'DATA US'!D126</f>
        <v>WIJAYANTO FUJI GUMELAR</v>
      </c>
      <c r="D62" s="316">
        <f>'DATA US'!B126</f>
        <v>222310108</v>
      </c>
      <c r="E62" s="317" t="str">
        <f>'DATA US'!F126</f>
        <v>Bekasi</v>
      </c>
      <c r="F62" s="318" t="str">
        <f>'DATA US'!G126</f>
        <v>24 Maret 2006</v>
      </c>
      <c r="G62" s="320" t="s">
        <v>904</v>
      </c>
      <c r="H62" s="320" t="str">
        <f>'DATA US'!E126</f>
        <v>P</v>
      </c>
      <c r="I62" s="321">
        <v>84.73</v>
      </c>
      <c r="J62" s="321">
        <v>88.21</v>
      </c>
      <c r="K62" s="321">
        <v>87.5</v>
      </c>
      <c r="L62" s="321">
        <v>91.364999999999995</v>
      </c>
      <c r="M62" s="321">
        <v>86.5</v>
      </c>
      <c r="N62" s="321">
        <v>86.96</v>
      </c>
      <c r="O62" s="321">
        <v>84</v>
      </c>
      <c r="P62" s="321">
        <v>84.9</v>
      </c>
      <c r="Q62" s="321">
        <v>87.5</v>
      </c>
      <c r="R62" s="321">
        <v>81.5</v>
      </c>
      <c r="S62" s="321">
        <v>82.5</v>
      </c>
      <c r="T62" s="324">
        <v>83.5</v>
      </c>
      <c r="U62" s="324">
        <v>84</v>
      </c>
      <c r="V62" s="324">
        <v>85.712000000000003</v>
      </c>
      <c r="W62" s="324">
        <v>85.453888888888898</v>
      </c>
      <c r="X62" s="75">
        <v>84.8066666666667</v>
      </c>
      <c r="Y62" s="59" t="str">
        <f>'DATA US'!I126</f>
        <v>RIANTO</v>
      </c>
      <c r="Z62" s="59" t="str">
        <f>'DATA US'!C126</f>
        <v>0067521435</v>
      </c>
      <c r="AA62" s="308" t="s">
        <v>1414</v>
      </c>
    </row>
    <row r="63" spans="1:27" ht="15.6">
      <c r="A63" s="56">
        <v>61</v>
      </c>
      <c r="B63" s="59"/>
      <c r="C63" s="58" t="str">
        <f>'DATA US'!D127</f>
        <v>YULIANDA ASSYIFA NAZWA</v>
      </c>
      <c r="D63" s="316">
        <f>'DATA US'!B127</f>
        <v>222310109</v>
      </c>
      <c r="E63" s="317" t="str">
        <f>'DATA US'!F127</f>
        <v>Bekasi</v>
      </c>
      <c r="F63" s="318" t="str">
        <f>'DATA US'!G127</f>
        <v xml:space="preserve"> 9 Agustus 2007</v>
      </c>
      <c r="G63" s="320" t="s">
        <v>904</v>
      </c>
      <c r="H63" s="320" t="str">
        <f>'DATA US'!E127</f>
        <v>P</v>
      </c>
      <c r="I63" s="321">
        <v>84.2</v>
      </c>
      <c r="J63" s="321">
        <v>84.92</v>
      </c>
      <c r="K63" s="321">
        <v>86.88</v>
      </c>
      <c r="L63" s="321">
        <v>83.87</v>
      </c>
      <c r="M63" s="321">
        <v>85.5</v>
      </c>
      <c r="N63" s="321">
        <v>85.42</v>
      </c>
      <c r="O63" s="321">
        <v>83.5</v>
      </c>
      <c r="P63" s="321">
        <v>84.8</v>
      </c>
      <c r="Q63" s="321">
        <v>85</v>
      </c>
      <c r="R63" s="321">
        <v>79</v>
      </c>
      <c r="S63" s="321">
        <v>83</v>
      </c>
      <c r="T63" s="324">
        <v>83</v>
      </c>
      <c r="U63" s="324">
        <v>83.6666666666667</v>
      </c>
      <c r="V63" s="324">
        <v>86.16</v>
      </c>
      <c r="W63" s="324">
        <v>84.523134920634902</v>
      </c>
      <c r="X63" s="75">
        <v>84.095833333333303</v>
      </c>
      <c r="Y63" s="59" t="str">
        <f>'DATA US'!I127</f>
        <v>YANTO ALIANA</v>
      </c>
      <c r="Z63" s="59" t="str">
        <f>'DATA US'!C127</f>
        <v>0071766661</v>
      </c>
      <c r="AA63" s="308" t="s">
        <v>1415</v>
      </c>
    </row>
  </sheetData>
  <sortState xmlns:xlrd2="http://schemas.microsoft.com/office/spreadsheetml/2017/richdata2" ref="A2:Z63">
    <sortCondition ref="C2:C6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K82"/>
  <sheetViews>
    <sheetView workbookViewId="0">
      <pane xSplit="6" ySplit="1" topLeftCell="CF65" activePane="bottomRight" state="frozen"/>
      <selection pane="topRight"/>
      <selection pane="bottomLeft"/>
      <selection pane="bottomRight" activeCell="CF2" sqref="CF2:CF82"/>
    </sheetView>
  </sheetViews>
  <sheetFormatPr defaultColWidth="9" defaultRowHeight="14.4"/>
  <cols>
    <col min="1" max="1" width="9" customWidth="1"/>
    <col min="2" max="3" width="12.5546875" customWidth="1"/>
    <col min="4" max="4" width="12.5546875" hidden="1" customWidth="1"/>
    <col min="5" max="5" width="19.88671875" customWidth="1"/>
    <col min="6" max="6" width="23.44140625" customWidth="1"/>
    <col min="7" max="80" width="9" hidden="1" customWidth="1"/>
    <col min="81" max="81" width="27.33203125" hidden="1" customWidth="1"/>
    <col min="82" max="82" width="34" hidden="1" customWidth="1"/>
    <col min="83" max="83" width="20.6640625" style="36" hidden="1" customWidth="1"/>
    <col min="84" max="84" width="9" customWidth="1"/>
    <col min="85" max="85" width="27.88671875" hidden="1" customWidth="1"/>
    <col min="86" max="86" width="36.21875" hidden="1" customWidth="1"/>
    <col min="87" max="87" width="36.77734375" hidden="1" customWidth="1"/>
    <col min="88" max="88" width="9" customWidth="1"/>
    <col min="89" max="89" width="13.77734375" customWidth="1"/>
    <col min="90" max="94" width="9" customWidth="1"/>
  </cols>
  <sheetData>
    <row r="1" spans="1:115" s="1" customFormat="1" ht="29.55" customHeight="1">
      <c r="A1" s="1" t="s">
        <v>905</v>
      </c>
      <c r="B1" s="1" t="s">
        <v>27</v>
      </c>
      <c r="C1" s="1" t="s">
        <v>906</v>
      </c>
      <c r="D1" s="1" t="s">
        <v>869</v>
      </c>
      <c r="E1" s="1" t="s">
        <v>28</v>
      </c>
      <c r="F1" s="1" t="s">
        <v>907</v>
      </c>
      <c r="G1" s="1" t="s">
        <v>908</v>
      </c>
      <c r="H1" s="1" t="s">
        <v>909</v>
      </c>
      <c r="I1" s="1" t="s">
        <v>910</v>
      </c>
      <c r="J1" s="1" t="s">
        <v>911</v>
      </c>
      <c r="K1" s="1" t="s">
        <v>912</v>
      </c>
      <c r="L1" s="1" t="s">
        <v>913</v>
      </c>
      <c r="M1" s="1" t="s">
        <v>914</v>
      </c>
      <c r="N1" s="1" t="s">
        <v>915</v>
      </c>
      <c r="O1" s="1" t="s">
        <v>916</v>
      </c>
      <c r="P1" s="1" t="s">
        <v>917</v>
      </c>
      <c r="Q1" s="1" t="s">
        <v>918</v>
      </c>
      <c r="R1" s="1" t="s">
        <v>919</v>
      </c>
      <c r="S1" s="1" t="s">
        <v>920</v>
      </c>
      <c r="T1" s="1" t="s">
        <v>921</v>
      </c>
      <c r="U1" s="1" t="s">
        <v>922</v>
      </c>
      <c r="V1" s="1" t="s">
        <v>923</v>
      </c>
      <c r="W1" s="1" t="s">
        <v>924</v>
      </c>
      <c r="X1" s="1" t="s">
        <v>925</v>
      </c>
      <c r="Y1" s="1" t="s">
        <v>926</v>
      </c>
      <c r="Z1" s="1" t="s">
        <v>927</v>
      </c>
      <c r="AA1" s="1" t="s">
        <v>928</v>
      </c>
      <c r="AB1" s="1" t="s">
        <v>929</v>
      </c>
      <c r="AC1" s="1" t="s">
        <v>930</v>
      </c>
      <c r="AD1" s="1" t="s">
        <v>931</v>
      </c>
      <c r="AE1" s="1" t="s">
        <v>932</v>
      </c>
      <c r="AF1" s="1" t="s">
        <v>933</v>
      </c>
      <c r="AG1" s="1" t="s">
        <v>934</v>
      </c>
      <c r="AH1" s="1" t="s">
        <v>935</v>
      </c>
      <c r="AI1" s="1" t="s">
        <v>936</v>
      </c>
      <c r="AJ1" s="1" t="s">
        <v>937</v>
      </c>
      <c r="AK1" s="1" t="s">
        <v>938</v>
      </c>
      <c r="AL1" s="1" t="s">
        <v>939</v>
      </c>
      <c r="AM1" s="1" t="s">
        <v>940</v>
      </c>
      <c r="AN1" s="1" t="s">
        <v>941</v>
      </c>
      <c r="AO1" s="1" t="s">
        <v>942</v>
      </c>
      <c r="AP1" s="1" t="s">
        <v>943</v>
      </c>
      <c r="AQ1" s="1" t="s">
        <v>944</v>
      </c>
      <c r="AR1" s="1" t="s">
        <v>945</v>
      </c>
      <c r="AS1" s="1" t="s">
        <v>946</v>
      </c>
      <c r="AT1" s="1" t="s">
        <v>947</v>
      </c>
      <c r="AU1" s="1" t="s">
        <v>948</v>
      </c>
      <c r="AV1" s="1" t="s">
        <v>949</v>
      </c>
      <c r="AW1" s="1" t="s">
        <v>950</v>
      </c>
      <c r="AX1" s="1" t="s">
        <v>951</v>
      </c>
      <c r="AY1" s="1" t="s">
        <v>952</v>
      </c>
      <c r="AZ1" s="1" t="s">
        <v>953</v>
      </c>
      <c r="BA1" s="1" t="s">
        <v>954</v>
      </c>
      <c r="BB1" s="1" t="s">
        <v>955</v>
      </c>
      <c r="BC1" s="1" t="s">
        <v>956</v>
      </c>
      <c r="BD1" s="1" t="s">
        <v>957</v>
      </c>
      <c r="BE1" s="1" t="s">
        <v>958</v>
      </c>
      <c r="BF1" s="1" t="s">
        <v>959</v>
      </c>
      <c r="BG1" s="1" t="s">
        <v>960</v>
      </c>
      <c r="BH1" s="1" t="s">
        <v>961</v>
      </c>
      <c r="BI1" s="1" t="s">
        <v>962</v>
      </c>
      <c r="BJ1" s="1" t="s">
        <v>963</v>
      </c>
      <c r="BK1" s="1" t="s">
        <v>964</v>
      </c>
      <c r="BL1" s="1" t="s">
        <v>965</v>
      </c>
      <c r="BM1" s="1" t="s">
        <v>966</v>
      </c>
      <c r="BN1" s="1" t="s">
        <v>967</v>
      </c>
      <c r="BO1" s="1" t="s">
        <v>968</v>
      </c>
      <c r="BP1" s="1" t="s">
        <v>969</v>
      </c>
      <c r="BQ1" s="1" t="s">
        <v>970</v>
      </c>
      <c r="BR1" s="1" t="s">
        <v>971</v>
      </c>
      <c r="BS1" s="1" t="s">
        <v>972</v>
      </c>
      <c r="BT1" s="1" t="s">
        <v>973</v>
      </c>
      <c r="BU1" s="1" t="s">
        <v>974</v>
      </c>
      <c r="BV1" s="1" t="s">
        <v>975</v>
      </c>
      <c r="BW1" s="1" t="s">
        <v>976</v>
      </c>
      <c r="BX1" s="1" t="s">
        <v>977</v>
      </c>
      <c r="BY1" s="1" t="s">
        <v>978</v>
      </c>
      <c r="BZ1" s="1" t="s">
        <v>979</v>
      </c>
      <c r="CA1" s="1" t="s">
        <v>980</v>
      </c>
      <c r="CB1" s="1" t="s">
        <v>981</v>
      </c>
      <c r="CC1" s="1" t="s">
        <v>982</v>
      </c>
      <c r="CD1" s="1" t="s">
        <v>983</v>
      </c>
      <c r="CE1" s="42" t="s">
        <v>984</v>
      </c>
      <c r="CF1" s="22" t="s">
        <v>985</v>
      </c>
      <c r="CG1" s="1" t="s">
        <v>982</v>
      </c>
      <c r="CH1" s="1" t="s">
        <v>983</v>
      </c>
      <c r="CI1" s="1" t="s">
        <v>984</v>
      </c>
      <c r="CJ1" s="22" t="s">
        <v>1230</v>
      </c>
      <c r="CK1" s="1" t="s">
        <v>986</v>
      </c>
      <c r="CL1" s="1" t="s">
        <v>987</v>
      </c>
      <c r="CM1" s="1" t="s">
        <v>988</v>
      </c>
      <c r="CN1" s="1" t="s">
        <v>989</v>
      </c>
      <c r="CO1" s="1" t="s">
        <v>990</v>
      </c>
      <c r="CP1" s="1" t="s">
        <v>991</v>
      </c>
      <c r="CQ1" s="295" t="s">
        <v>1233</v>
      </c>
      <c r="CR1" s="295" t="s">
        <v>1234</v>
      </c>
      <c r="CS1" s="295" t="s">
        <v>1251</v>
      </c>
      <c r="CT1" s="295" t="s">
        <v>1235</v>
      </c>
      <c r="CU1" s="295" t="s">
        <v>1236</v>
      </c>
      <c r="CV1" s="295" t="s">
        <v>1237</v>
      </c>
      <c r="CW1" s="295" t="s">
        <v>1238</v>
      </c>
      <c r="CX1" s="295" t="s">
        <v>1239</v>
      </c>
      <c r="CY1" s="295" t="s">
        <v>1240</v>
      </c>
      <c r="CZ1" s="295" t="s">
        <v>1241</v>
      </c>
      <c r="DA1" s="295" t="s">
        <v>1242</v>
      </c>
      <c r="DB1" s="295" t="s">
        <v>1243</v>
      </c>
      <c r="DC1" s="295" t="s">
        <v>1244</v>
      </c>
      <c r="DD1" s="295" t="s">
        <v>1245</v>
      </c>
      <c r="DE1" s="295" t="s">
        <v>1246</v>
      </c>
      <c r="DF1" s="295" t="s">
        <v>1247</v>
      </c>
      <c r="DG1" s="295" t="s">
        <v>1248</v>
      </c>
      <c r="DH1" s="295" t="s">
        <v>1249</v>
      </c>
      <c r="DI1" s="295" t="s">
        <v>1250</v>
      </c>
      <c r="DJ1" s="295" t="s">
        <v>1267</v>
      </c>
      <c r="DK1" s="330" t="s">
        <v>1416</v>
      </c>
    </row>
    <row r="2" spans="1:115">
      <c r="A2">
        <v>1</v>
      </c>
      <c r="B2">
        <f>'DATA US'!B15</f>
        <v>222310001</v>
      </c>
      <c r="C2" t="str">
        <f>'DATA US'!F15</f>
        <v>BEKASI</v>
      </c>
      <c r="D2" s="37" t="str">
        <f>'DATA US'!G15</f>
        <v>23 April 2007</v>
      </c>
      <c r="E2" t="str">
        <f>'DATA US'!C15</f>
        <v>0072124779</v>
      </c>
      <c r="F2" t="str">
        <f>'DATA US'!D15</f>
        <v>ADAM ZAKIE RAMADHAN</v>
      </c>
      <c r="G2" s="13">
        <v>82</v>
      </c>
      <c r="H2" s="13">
        <v>82</v>
      </c>
      <c r="I2" s="13">
        <v>86</v>
      </c>
      <c r="J2" s="13">
        <v>84</v>
      </c>
      <c r="K2" s="13">
        <v>84</v>
      </c>
      <c r="L2" s="13">
        <v>85</v>
      </c>
      <c r="M2" s="13">
        <v>83</v>
      </c>
      <c r="N2" s="13">
        <v>84</v>
      </c>
      <c r="O2" s="13">
        <v>81</v>
      </c>
      <c r="P2" s="13">
        <v>83</v>
      </c>
      <c r="Q2" s="13">
        <v>84</v>
      </c>
      <c r="R2" s="13">
        <v>86</v>
      </c>
      <c r="S2" s="13">
        <v>84</v>
      </c>
      <c r="T2" s="13">
        <v>85</v>
      </c>
      <c r="U2" s="13">
        <v>89</v>
      </c>
      <c r="V2" s="13">
        <v>92</v>
      </c>
      <c r="W2" s="13">
        <v>90</v>
      </c>
      <c r="X2" s="13">
        <v>89</v>
      </c>
      <c r="Y2" s="13">
        <v>75</v>
      </c>
      <c r="Z2" s="13">
        <v>75</v>
      </c>
      <c r="AA2" s="13">
        <v>86</v>
      </c>
      <c r="AB2" s="13">
        <v>86</v>
      </c>
      <c r="AC2" s="13">
        <v>82</v>
      </c>
      <c r="AD2" s="13">
        <v>90</v>
      </c>
      <c r="AE2" s="13">
        <v>82</v>
      </c>
      <c r="AF2" s="13">
        <v>78</v>
      </c>
      <c r="AG2" s="13">
        <v>79</v>
      </c>
      <c r="AH2" s="13">
        <v>84</v>
      </c>
      <c r="AI2" s="13">
        <v>90</v>
      </c>
      <c r="AJ2" s="13">
        <v>90</v>
      </c>
      <c r="AK2" s="13">
        <v>85</v>
      </c>
      <c r="AL2" s="13">
        <v>85</v>
      </c>
      <c r="AM2" t="s">
        <v>992</v>
      </c>
      <c r="AN2" t="s">
        <v>992</v>
      </c>
      <c r="AO2" t="s">
        <v>992</v>
      </c>
      <c r="AP2" t="s">
        <v>992</v>
      </c>
      <c r="AQ2" s="13">
        <v>83</v>
      </c>
      <c r="AR2" s="13">
        <v>80</v>
      </c>
      <c r="AS2" s="13">
        <v>80</v>
      </c>
      <c r="AT2" s="13">
        <v>83</v>
      </c>
      <c r="AU2" s="13">
        <v>82</v>
      </c>
      <c r="AV2" s="13">
        <v>82</v>
      </c>
      <c r="AW2" s="13">
        <v>80</v>
      </c>
      <c r="AX2" s="13">
        <v>81</v>
      </c>
      <c r="AY2" s="13">
        <v>86</v>
      </c>
      <c r="AZ2" s="13">
        <v>86</v>
      </c>
      <c r="BA2" s="13">
        <v>83</v>
      </c>
      <c r="BB2" s="13">
        <v>84</v>
      </c>
      <c r="BC2" s="13">
        <v>83</v>
      </c>
      <c r="BD2" s="13">
        <v>83</v>
      </c>
      <c r="BE2" s="13">
        <v>83</v>
      </c>
      <c r="BF2" s="13">
        <v>82</v>
      </c>
      <c r="BG2" s="13">
        <v>75</v>
      </c>
      <c r="BH2" s="13">
        <v>76</v>
      </c>
      <c r="BI2" s="13">
        <v>79</v>
      </c>
      <c r="BJ2" s="13">
        <v>79</v>
      </c>
      <c r="BK2" s="13">
        <v>84</v>
      </c>
      <c r="BL2" s="13">
        <v>86</v>
      </c>
      <c r="BM2" s="13">
        <v>87</v>
      </c>
      <c r="BN2" s="13">
        <v>85</v>
      </c>
      <c r="BO2" s="13">
        <v>85</v>
      </c>
      <c r="BP2">
        <v>86</v>
      </c>
      <c r="BQ2" s="13">
        <v>83</v>
      </c>
      <c r="BR2" s="13">
        <v>82</v>
      </c>
      <c r="BS2">
        <v>86</v>
      </c>
      <c r="BT2">
        <v>86</v>
      </c>
      <c r="BU2" s="13">
        <v>85</v>
      </c>
      <c r="BV2">
        <v>89</v>
      </c>
      <c r="BW2" s="13">
        <v>87</v>
      </c>
      <c r="BX2" s="13">
        <v>87</v>
      </c>
      <c r="BY2" s="13">
        <v>86</v>
      </c>
      <c r="BZ2">
        <v>89</v>
      </c>
      <c r="CA2" s="13">
        <v>83</v>
      </c>
      <c r="CB2" s="13">
        <v>86</v>
      </c>
      <c r="CC2" t="s">
        <v>993</v>
      </c>
      <c r="CD2" t="s">
        <v>994</v>
      </c>
      <c r="CE2" s="36" t="s">
        <v>995</v>
      </c>
      <c r="CF2" s="23" t="s">
        <v>996</v>
      </c>
      <c r="CJ2" s="23"/>
      <c r="CK2" s="13">
        <v>91.6666666666667</v>
      </c>
      <c r="CL2" s="13">
        <v>86</v>
      </c>
      <c r="CM2">
        <v>84</v>
      </c>
      <c r="CN2">
        <v>87</v>
      </c>
      <c r="CO2" s="13">
        <v>83</v>
      </c>
      <c r="CP2" s="13">
        <v>89</v>
      </c>
      <c r="CQ2" s="13">
        <f>AVERAGE(G2:L2)</f>
        <v>83.833333333333329</v>
      </c>
      <c r="CR2" s="13">
        <f>AVERAGE(M2:R2)</f>
        <v>83.5</v>
      </c>
      <c r="CS2" s="13">
        <f>AVERAGE(Y2:AD2)</f>
        <v>82.333333333333329</v>
      </c>
      <c r="CT2" s="13">
        <f>AVERAGE(S2:X2)</f>
        <v>88.166666666666671</v>
      </c>
      <c r="CU2" s="13">
        <f>AVERAGE(AE2:AJ2)</f>
        <v>83.833333333333329</v>
      </c>
      <c r="CV2" s="13">
        <f>AVERAGE(AQ2:AR2)</f>
        <v>81.5</v>
      </c>
      <c r="CW2" s="13">
        <f>AVERAGE(AS2:AV2)</f>
        <v>81.75</v>
      </c>
      <c r="CX2" s="13">
        <f>AVERAGE(CA2:CB2)</f>
        <v>84.5</v>
      </c>
      <c r="CY2" s="13">
        <f>AVERAGE(BA2:BB2)</f>
        <v>83.5</v>
      </c>
      <c r="CZ2" s="13">
        <f>AVERAGE(AY2:AZ2)</f>
        <v>86</v>
      </c>
      <c r="DA2" s="13">
        <f>AVERAGE(AW2:AX2)</f>
        <v>80.5</v>
      </c>
      <c r="DB2" s="13">
        <f>AVERAGE(BE2:BF2)</f>
        <v>82.5</v>
      </c>
      <c r="DC2" s="13">
        <f>AVERAGE(BG2:BH2)</f>
        <v>75.5</v>
      </c>
      <c r="DD2" s="13">
        <f>AVERAGE(BC2:BD2)</f>
        <v>83</v>
      </c>
      <c r="DE2" s="13">
        <f>AVERAGE(BI2:BL2)</f>
        <v>82</v>
      </c>
      <c r="DF2" s="13">
        <f>AVERAGE(BM2:BP2)</f>
        <v>85.75</v>
      </c>
      <c r="DG2" s="13">
        <f>AVERAGE(BQ2:BT2)</f>
        <v>84.25</v>
      </c>
      <c r="DH2" s="13">
        <f>AVERAGE(BW2:BZ2)</f>
        <v>87.25</v>
      </c>
      <c r="DI2" s="13">
        <f>AVERAGE(BU2:BV2)</f>
        <v>87</v>
      </c>
      <c r="DJ2" s="13">
        <f>AVERAGE(AK2:AL2)</f>
        <v>85</v>
      </c>
      <c r="DK2" s="13">
        <f>AVERAGE(CQ2:DJ2)</f>
        <v>83.583333333333329</v>
      </c>
    </row>
    <row r="3" spans="1:115">
      <c r="A3">
        <v>2</v>
      </c>
      <c r="B3">
        <f>'DATA US'!B16</f>
        <v>222310002</v>
      </c>
      <c r="C3" t="str">
        <f>'DATA US'!F16</f>
        <v>BEKASI</v>
      </c>
      <c r="D3" s="37" t="str">
        <f>'DATA US'!G16</f>
        <v>24 Maret 2007</v>
      </c>
      <c r="E3" t="str">
        <f>'DATA US'!C16</f>
        <v>0077315289</v>
      </c>
      <c r="F3" t="str">
        <f>'DATA US'!D16</f>
        <v>AKSAY SETIA AJI</v>
      </c>
      <c r="G3" s="13">
        <v>82</v>
      </c>
      <c r="H3" s="13">
        <v>80</v>
      </c>
      <c r="I3" s="13">
        <v>83</v>
      </c>
      <c r="J3" s="13">
        <v>80</v>
      </c>
      <c r="K3" s="13">
        <v>83</v>
      </c>
      <c r="L3" s="13">
        <v>85</v>
      </c>
      <c r="M3" s="13">
        <v>81</v>
      </c>
      <c r="N3" s="13">
        <v>84</v>
      </c>
      <c r="O3" s="13">
        <v>80</v>
      </c>
      <c r="P3" s="13">
        <v>83</v>
      </c>
      <c r="Q3" s="13">
        <v>83</v>
      </c>
      <c r="R3" s="13">
        <v>84</v>
      </c>
      <c r="S3" s="13">
        <v>80</v>
      </c>
      <c r="T3" s="13">
        <v>79</v>
      </c>
      <c r="U3" s="13">
        <v>85</v>
      </c>
      <c r="V3" s="13">
        <v>87</v>
      </c>
      <c r="W3" s="13">
        <v>84</v>
      </c>
      <c r="X3" s="13">
        <v>87</v>
      </c>
      <c r="Y3" s="13">
        <v>75</v>
      </c>
      <c r="Z3" s="13">
        <v>77</v>
      </c>
      <c r="AA3" s="13">
        <v>80</v>
      </c>
      <c r="AB3" s="13">
        <v>83</v>
      </c>
      <c r="AC3" s="13">
        <v>82</v>
      </c>
      <c r="AD3" s="13">
        <v>91</v>
      </c>
      <c r="AE3" s="13">
        <v>77</v>
      </c>
      <c r="AF3" s="13">
        <v>77</v>
      </c>
      <c r="AG3" s="13">
        <v>81</v>
      </c>
      <c r="AH3" s="13">
        <v>80</v>
      </c>
      <c r="AI3" s="13">
        <v>84</v>
      </c>
      <c r="AJ3" s="13">
        <v>90</v>
      </c>
      <c r="AK3" s="13">
        <v>85</v>
      </c>
      <c r="AL3" s="13">
        <v>85</v>
      </c>
      <c r="AM3" t="s">
        <v>992</v>
      </c>
      <c r="AN3" t="s">
        <v>992</v>
      </c>
      <c r="AO3" t="s">
        <v>992</v>
      </c>
      <c r="AP3" t="s">
        <v>992</v>
      </c>
      <c r="AQ3" s="13">
        <v>83</v>
      </c>
      <c r="AR3" s="13">
        <v>80</v>
      </c>
      <c r="AS3" s="13">
        <v>80</v>
      </c>
      <c r="AT3" s="13">
        <v>81</v>
      </c>
      <c r="AU3" s="13">
        <v>88</v>
      </c>
      <c r="AV3" s="13">
        <v>83</v>
      </c>
      <c r="AW3" s="13">
        <v>77</v>
      </c>
      <c r="AX3" s="13">
        <v>81</v>
      </c>
      <c r="AY3" s="13">
        <v>86</v>
      </c>
      <c r="AZ3" s="13">
        <v>86</v>
      </c>
      <c r="BA3" s="13">
        <v>85</v>
      </c>
      <c r="BB3" s="13">
        <v>85</v>
      </c>
      <c r="BC3" s="13">
        <v>83</v>
      </c>
      <c r="BD3" s="13">
        <v>80</v>
      </c>
      <c r="BE3" s="13">
        <v>83</v>
      </c>
      <c r="BF3" s="13">
        <v>80</v>
      </c>
      <c r="BG3" s="13">
        <v>75</v>
      </c>
      <c r="BH3" s="13">
        <v>76</v>
      </c>
      <c r="BI3" s="13">
        <v>81</v>
      </c>
      <c r="BJ3" s="13">
        <v>83</v>
      </c>
      <c r="BK3" s="13">
        <v>83</v>
      </c>
      <c r="BL3" s="13">
        <v>86</v>
      </c>
      <c r="BM3" s="13">
        <v>83</v>
      </c>
      <c r="BN3" s="13">
        <v>85</v>
      </c>
      <c r="BO3" s="13">
        <v>87</v>
      </c>
      <c r="BP3" s="13">
        <v>88</v>
      </c>
      <c r="BQ3" s="13">
        <v>83</v>
      </c>
      <c r="BR3" s="13">
        <v>83</v>
      </c>
      <c r="BS3">
        <v>86</v>
      </c>
      <c r="BT3">
        <v>86</v>
      </c>
      <c r="BU3" s="13">
        <v>83</v>
      </c>
      <c r="BV3" s="13">
        <v>88</v>
      </c>
      <c r="BW3" s="13">
        <v>86</v>
      </c>
      <c r="BX3" s="13">
        <v>86</v>
      </c>
      <c r="BY3" s="13">
        <v>81</v>
      </c>
      <c r="BZ3" s="13">
        <v>88</v>
      </c>
      <c r="CA3" s="13">
        <v>80</v>
      </c>
      <c r="CB3" s="13">
        <v>85</v>
      </c>
      <c r="CC3" t="s">
        <v>997</v>
      </c>
      <c r="CD3" t="s">
        <v>998</v>
      </c>
      <c r="CE3" s="36" t="s">
        <v>999</v>
      </c>
      <c r="CF3" s="23" t="s">
        <v>1000</v>
      </c>
      <c r="CJ3" s="23"/>
      <c r="CK3" s="13">
        <v>89.6666666666667</v>
      </c>
      <c r="CL3" s="13">
        <v>83.6666666666667</v>
      </c>
      <c r="CM3">
        <v>81</v>
      </c>
      <c r="CN3">
        <v>88</v>
      </c>
      <c r="CO3" s="13">
        <v>83</v>
      </c>
      <c r="CP3" s="13">
        <v>90.1666666666667</v>
      </c>
      <c r="CQ3" s="13">
        <f t="shared" ref="CQ3:CQ66" si="0">AVERAGE(G3:L3)</f>
        <v>82.166666666666671</v>
      </c>
      <c r="CR3" s="13">
        <f t="shared" ref="CR3:CR66" si="1">AVERAGE(M3:R3)</f>
        <v>82.5</v>
      </c>
      <c r="CS3" s="13">
        <f t="shared" ref="CS3:CS66" si="2">AVERAGE(Y3:AD3)</f>
        <v>81.333333333333329</v>
      </c>
      <c r="CT3" s="13">
        <f t="shared" ref="CT3:CT66" si="3">AVERAGE(S3:X3)</f>
        <v>83.666666666666671</v>
      </c>
      <c r="CU3" s="13">
        <f t="shared" ref="CU3:CU66" si="4">AVERAGE(AE3:AJ3)</f>
        <v>81.5</v>
      </c>
      <c r="CV3" s="13">
        <f t="shared" ref="CV3:CV66" si="5">AVERAGE(AQ3:AR3)</f>
        <v>81.5</v>
      </c>
      <c r="CW3" s="13">
        <f t="shared" ref="CW3:CW66" si="6">AVERAGE(AS3:AV3)</f>
        <v>83</v>
      </c>
      <c r="CX3" s="13">
        <f t="shared" ref="CX3:CX66" si="7">AVERAGE(CA3:CB3)</f>
        <v>82.5</v>
      </c>
      <c r="CY3" s="13">
        <f t="shared" ref="CY3:CY66" si="8">AVERAGE(BA3:BB3)</f>
        <v>85</v>
      </c>
      <c r="CZ3" s="13">
        <f t="shared" ref="CZ3:CZ66" si="9">AVERAGE(AY3:AZ3)</f>
        <v>86</v>
      </c>
      <c r="DA3" s="13">
        <f t="shared" ref="DA3:DA66" si="10">AVERAGE(AW3:AX3)</f>
        <v>79</v>
      </c>
      <c r="DB3" s="13">
        <f t="shared" ref="DB3:DB66" si="11">AVERAGE(BE3:BF3)</f>
        <v>81.5</v>
      </c>
      <c r="DC3" s="13">
        <f t="shared" ref="DC3:DC66" si="12">AVERAGE(BG3:BH3)</f>
        <v>75.5</v>
      </c>
      <c r="DD3" s="13">
        <f t="shared" ref="DD3:DD66" si="13">AVERAGE(BC3:BD3)</f>
        <v>81.5</v>
      </c>
      <c r="DE3" s="13">
        <f t="shared" ref="DE3:DE66" si="14">AVERAGE(BI3:BL3)</f>
        <v>83.25</v>
      </c>
      <c r="DF3" s="13">
        <f t="shared" ref="DF3:DF66" si="15">AVERAGE(BM3:BP3)</f>
        <v>85.75</v>
      </c>
      <c r="DG3" s="13">
        <f t="shared" ref="DG3:DG66" si="16">AVERAGE(BQ3:BT3)</f>
        <v>84.5</v>
      </c>
      <c r="DH3" s="13">
        <f t="shared" ref="DH3:DH66" si="17">AVERAGE(BW3:BZ3)</f>
        <v>85.25</v>
      </c>
      <c r="DI3" s="13">
        <f t="shared" ref="DI3:DI66" si="18">AVERAGE(BU3:BV3)</f>
        <v>85.5</v>
      </c>
      <c r="DJ3" s="13">
        <f t="shared" ref="DJ3:DJ66" si="19">AVERAGE(AK3:AL3)</f>
        <v>85</v>
      </c>
      <c r="DK3" s="13">
        <f t="shared" ref="DK3:DK66" si="20">AVERAGE(CQ3:DJ3)</f>
        <v>82.795833333333334</v>
      </c>
    </row>
    <row r="4" spans="1:115">
      <c r="A4">
        <v>3</v>
      </c>
      <c r="B4">
        <f>'DATA US'!B17</f>
        <v>222310003</v>
      </c>
      <c r="C4" t="str">
        <f>'DATA US'!F17</f>
        <v>BEKASI</v>
      </c>
      <c r="D4" s="37" t="str">
        <f>'DATA US'!G17</f>
        <v>30 Juni 2007</v>
      </c>
      <c r="E4" t="str">
        <f>'DATA US'!C17</f>
        <v>0078124071</v>
      </c>
      <c r="F4" t="str">
        <f>'DATA US'!D17</f>
        <v>ALFRIYANSYAH FINDO SALMAN</v>
      </c>
      <c r="G4" s="13">
        <v>82</v>
      </c>
      <c r="H4" s="13">
        <v>78</v>
      </c>
      <c r="I4" s="13">
        <v>84</v>
      </c>
      <c r="J4" s="13">
        <v>83</v>
      </c>
      <c r="K4" s="13">
        <v>82</v>
      </c>
      <c r="L4" s="13">
        <v>83</v>
      </c>
      <c r="M4" s="13">
        <v>79</v>
      </c>
      <c r="N4" s="13">
        <v>81</v>
      </c>
      <c r="O4" s="13">
        <v>80</v>
      </c>
      <c r="P4" s="13">
        <v>83</v>
      </c>
      <c r="Q4" s="13">
        <v>83</v>
      </c>
      <c r="R4" s="13">
        <v>83</v>
      </c>
      <c r="S4" s="13">
        <v>80</v>
      </c>
      <c r="T4" s="13">
        <v>79</v>
      </c>
      <c r="U4" s="13">
        <v>78</v>
      </c>
      <c r="V4" s="13">
        <v>85</v>
      </c>
      <c r="W4" s="13">
        <v>80</v>
      </c>
      <c r="X4" s="13">
        <v>83</v>
      </c>
      <c r="Y4" s="13">
        <v>75</v>
      </c>
      <c r="Z4" s="13">
        <v>75</v>
      </c>
      <c r="AA4" s="13">
        <v>78</v>
      </c>
      <c r="AB4" s="13">
        <v>79</v>
      </c>
      <c r="AC4" s="13">
        <v>82</v>
      </c>
      <c r="AD4" s="13">
        <v>86</v>
      </c>
      <c r="AE4" s="13">
        <v>84</v>
      </c>
      <c r="AF4" s="13">
        <v>77</v>
      </c>
      <c r="AG4" s="13">
        <v>80</v>
      </c>
      <c r="AH4" s="13">
        <v>80</v>
      </c>
      <c r="AI4" s="13">
        <v>84</v>
      </c>
      <c r="AJ4" s="13">
        <v>85</v>
      </c>
      <c r="AK4" s="13">
        <v>82</v>
      </c>
      <c r="AL4" s="13">
        <v>84</v>
      </c>
      <c r="AM4" t="s">
        <v>992</v>
      </c>
      <c r="AN4" t="s">
        <v>992</v>
      </c>
      <c r="AO4" t="s">
        <v>992</v>
      </c>
      <c r="AP4" t="s">
        <v>992</v>
      </c>
      <c r="AQ4" s="13">
        <v>83</v>
      </c>
      <c r="AR4" s="13">
        <v>79</v>
      </c>
      <c r="AS4" s="13">
        <v>80</v>
      </c>
      <c r="AT4" s="13">
        <v>81</v>
      </c>
      <c r="AU4" s="13">
        <v>89</v>
      </c>
      <c r="AV4" s="13">
        <v>85</v>
      </c>
      <c r="AW4" s="13">
        <v>77</v>
      </c>
      <c r="AX4" s="13">
        <v>81</v>
      </c>
      <c r="AY4" s="13">
        <v>84</v>
      </c>
      <c r="AZ4" s="13">
        <v>85</v>
      </c>
      <c r="BA4" s="13">
        <v>82</v>
      </c>
      <c r="BB4" s="13">
        <v>83</v>
      </c>
      <c r="BC4" s="13">
        <v>75</v>
      </c>
      <c r="BD4" s="13">
        <v>78</v>
      </c>
      <c r="BE4" s="13">
        <v>75</v>
      </c>
      <c r="BF4" s="13">
        <v>76</v>
      </c>
      <c r="BG4" s="13">
        <v>75</v>
      </c>
      <c r="BH4" s="13">
        <v>75</v>
      </c>
      <c r="BI4" s="13">
        <v>79</v>
      </c>
      <c r="BJ4" s="13">
        <v>80</v>
      </c>
      <c r="BK4" s="13">
        <v>84</v>
      </c>
      <c r="BL4" s="13">
        <v>83</v>
      </c>
      <c r="BM4" s="13">
        <v>84</v>
      </c>
      <c r="BN4" s="13">
        <v>85</v>
      </c>
      <c r="BO4" s="13">
        <v>83</v>
      </c>
      <c r="BP4" s="13">
        <v>84</v>
      </c>
      <c r="BQ4" s="13">
        <v>81</v>
      </c>
      <c r="BR4" s="13">
        <v>82</v>
      </c>
      <c r="BS4">
        <v>83</v>
      </c>
      <c r="BT4">
        <v>83</v>
      </c>
      <c r="BU4" s="13">
        <v>80</v>
      </c>
      <c r="BV4" s="13">
        <v>86</v>
      </c>
      <c r="BW4" s="13">
        <v>83</v>
      </c>
      <c r="BX4" s="13">
        <v>84</v>
      </c>
      <c r="BY4" s="13">
        <v>81</v>
      </c>
      <c r="BZ4" s="13">
        <v>86</v>
      </c>
      <c r="CA4" s="13">
        <v>79</v>
      </c>
      <c r="CB4" s="13">
        <v>82</v>
      </c>
      <c r="CC4" t="s">
        <v>1001</v>
      </c>
      <c r="CD4" t="s">
        <v>1002</v>
      </c>
      <c r="CE4" s="36" t="s">
        <v>1003</v>
      </c>
      <c r="CF4" s="23" t="s">
        <v>996</v>
      </c>
      <c r="CJ4" s="23"/>
      <c r="CK4" s="13">
        <v>88.3333333333333</v>
      </c>
      <c r="CL4" s="13">
        <v>83.6666666666667</v>
      </c>
      <c r="CM4">
        <v>81</v>
      </c>
      <c r="CN4">
        <v>87</v>
      </c>
      <c r="CO4" s="13">
        <v>82.25</v>
      </c>
      <c r="CP4" s="13">
        <v>88.5277777777778</v>
      </c>
      <c r="CQ4" s="13">
        <f t="shared" si="0"/>
        <v>82</v>
      </c>
      <c r="CR4" s="13">
        <f t="shared" si="1"/>
        <v>81.5</v>
      </c>
      <c r="CS4" s="13">
        <f t="shared" si="2"/>
        <v>79.166666666666671</v>
      </c>
      <c r="CT4" s="13">
        <f t="shared" si="3"/>
        <v>80.833333333333329</v>
      </c>
      <c r="CU4" s="13">
        <f t="shared" si="4"/>
        <v>81.666666666666671</v>
      </c>
      <c r="CV4" s="13">
        <f t="shared" si="5"/>
        <v>81</v>
      </c>
      <c r="CW4" s="13">
        <f t="shared" si="6"/>
        <v>83.75</v>
      </c>
      <c r="CX4" s="13">
        <f t="shared" si="7"/>
        <v>80.5</v>
      </c>
      <c r="CY4" s="13">
        <f t="shared" si="8"/>
        <v>82.5</v>
      </c>
      <c r="CZ4" s="13">
        <f t="shared" si="9"/>
        <v>84.5</v>
      </c>
      <c r="DA4" s="13">
        <f t="shared" si="10"/>
        <v>79</v>
      </c>
      <c r="DB4" s="13">
        <f t="shared" si="11"/>
        <v>75.5</v>
      </c>
      <c r="DC4" s="13">
        <f t="shared" si="12"/>
        <v>75</v>
      </c>
      <c r="DD4" s="13">
        <f t="shared" si="13"/>
        <v>76.5</v>
      </c>
      <c r="DE4" s="13">
        <f t="shared" si="14"/>
        <v>81.5</v>
      </c>
      <c r="DF4" s="13">
        <f t="shared" si="15"/>
        <v>84</v>
      </c>
      <c r="DG4" s="13">
        <f t="shared" si="16"/>
        <v>82.25</v>
      </c>
      <c r="DH4" s="13">
        <f t="shared" si="17"/>
        <v>83.5</v>
      </c>
      <c r="DI4" s="13">
        <f t="shared" si="18"/>
        <v>83</v>
      </c>
      <c r="DJ4" s="13">
        <f t="shared" si="19"/>
        <v>83</v>
      </c>
      <c r="DK4" s="13">
        <f t="shared" si="20"/>
        <v>81.033333333333331</v>
      </c>
    </row>
    <row r="5" spans="1:115">
      <c r="A5">
        <v>4</v>
      </c>
      <c r="B5">
        <f>'DATA US'!B18</f>
        <v>222310004</v>
      </c>
      <c r="C5" t="str">
        <f>'DATA US'!F18</f>
        <v>CIAMIS</v>
      </c>
      <c r="D5" s="37" t="str">
        <f>'DATA US'!G18</f>
        <v>20 Oktober 2006</v>
      </c>
      <c r="E5" t="str">
        <f>'DATA US'!C18</f>
        <v>0134157802</v>
      </c>
      <c r="F5" t="str">
        <f>'DATA US'!D18</f>
        <v>ARIEF OKTA PRATAMA</v>
      </c>
      <c r="G5" s="13">
        <v>80</v>
      </c>
      <c r="H5" s="13">
        <v>78</v>
      </c>
      <c r="I5" s="13">
        <v>83</v>
      </c>
      <c r="J5" s="13">
        <v>83</v>
      </c>
      <c r="K5" s="13">
        <v>82</v>
      </c>
      <c r="L5" s="13">
        <v>83</v>
      </c>
      <c r="M5" s="13">
        <v>78</v>
      </c>
      <c r="N5" s="13">
        <v>81</v>
      </c>
      <c r="O5" s="13">
        <v>79</v>
      </c>
      <c r="P5" s="13">
        <v>84</v>
      </c>
      <c r="Q5" s="13">
        <v>83</v>
      </c>
      <c r="R5" s="13">
        <v>84</v>
      </c>
      <c r="S5" s="13">
        <v>78</v>
      </c>
      <c r="T5" s="13">
        <v>79</v>
      </c>
      <c r="U5" s="13">
        <v>78</v>
      </c>
      <c r="V5" s="13">
        <v>80</v>
      </c>
      <c r="W5" s="13">
        <v>80</v>
      </c>
      <c r="X5" s="13">
        <v>83</v>
      </c>
      <c r="Y5" s="13">
        <v>75</v>
      </c>
      <c r="Z5" s="13">
        <v>75</v>
      </c>
      <c r="AA5" s="13">
        <v>78</v>
      </c>
      <c r="AB5" s="13">
        <v>79</v>
      </c>
      <c r="AC5" s="13">
        <v>83</v>
      </c>
      <c r="AD5" s="13">
        <v>86</v>
      </c>
      <c r="AE5" s="13">
        <v>79</v>
      </c>
      <c r="AF5" s="13">
        <v>77</v>
      </c>
      <c r="AG5" s="13">
        <v>79</v>
      </c>
      <c r="AH5" s="13">
        <v>80</v>
      </c>
      <c r="AI5" s="13">
        <v>82</v>
      </c>
      <c r="AJ5" s="13">
        <v>85</v>
      </c>
      <c r="AK5" s="13">
        <v>81</v>
      </c>
      <c r="AL5" s="13">
        <v>79</v>
      </c>
      <c r="AM5" t="s">
        <v>992</v>
      </c>
      <c r="AN5" t="s">
        <v>992</v>
      </c>
      <c r="AO5" t="s">
        <v>992</v>
      </c>
      <c r="AP5" t="s">
        <v>992</v>
      </c>
      <c r="AQ5" s="13">
        <v>83</v>
      </c>
      <c r="AR5" s="13">
        <v>81</v>
      </c>
      <c r="AS5" s="13">
        <v>80</v>
      </c>
      <c r="AT5" s="13">
        <v>81</v>
      </c>
      <c r="AU5" s="13">
        <v>83</v>
      </c>
      <c r="AV5" s="13">
        <v>82</v>
      </c>
      <c r="AW5" s="13">
        <v>78</v>
      </c>
      <c r="AX5" s="13">
        <v>81</v>
      </c>
      <c r="AY5" s="13">
        <v>84</v>
      </c>
      <c r="AZ5" s="13">
        <v>82</v>
      </c>
      <c r="BA5" s="13">
        <v>83</v>
      </c>
      <c r="BB5" s="13">
        <v>84</v>
      </c>
      <c r="BC5" s="13">
        <v>75</v>
      </c>
      <c r="BD5" s="13">
        <v>81</v>
      </c>
      <c r="BE5" s="13">
        <v>75</v>
      </c>
      <c r="BF5" s="13">
        <v>82</v>
      </c>
      <c r="BG5" s="13">
        <v>75</v>
      </c>
      <c r="BH5" s="13">
        <v>76</v>
      </c>
      <c r="BI5" s="13">
        <v>78</v>
      </c>
      <c r="BJ5" s="13">
        <v>79</v>
      </c>
      <c r="BK5" s="13">
        <v>83</v>
      </c>
      <c r="BL5" s="13">
        <v>83</v>
      </c>
      <c r="BM5" s="13">
        <v>78</v>
      </c>
      <c r="BN5" s="13">
        <v>79</v>
      </c>
      <c r="BO5" s="13">
        <v>81</v>
      </c>
      <c r="BP5" s="13">
        <v>82</v>
      </c>
      <c r="BQ5" s="13">
        <v>78</v>
      </c>
      <c r="BR5" s="13">
        <v>81</v>
      </c>
      <c r="BS5">
        <v>84</v>
      </c>
      <c r="BT5">
        <v>83</v>
      </c>
      <c r="BU5" s="13">
        <v>81</v>
      </c>
      <c r="BV5" s="13">
        <v>87</v>
      </c>
      <c r="BW5" s="13">
        <v>85</v>
      </c>
      <c r="BX5" s="13">
        <v>85</v>
      </c>
      <c r="BY5" s="13">
        <v>82</v>
      </c>
      <c r="BZ5" s="13">
        <v>87</v>
      </c>
      <c r="CA5" s="13">
        <v>81</v>
      </c>
      <c r="CB5" s="13">
        <v>81</v>
      </c>
      <c r="CC5" t="s">
        <v>1001</v>
      </c>
      <c r="CD5" t="s">
        <v>1002</v>
      </c>
      <c r="CE5" s="36" t="s">
        <v>1004</v>
      </c>
      <c r="CF5" s="23" t="s">
        <v>996</v>
      </c>
      <c r="CJ5" s="23"/>
      <c r="CK5" s="13">
        <v>88.6666666666667</v>
      </c>
      <c r="CL5" s="13">
        <v>82.3333333333333</v>
      </c>
      <c r="CM5">
        <v>81</v>
      </c>
      <c r="CN5">
        <v>87</v>
      </c>
      <c r="CO5" s="13">
        <v>80</v>
      </c>
      <c r="CP5" s="13">
        <v>86.0277777777778</v>
      </c>
      <c r="CQ5" s="13">
        <f t="shared" si="0"/>
        <v>81.5</v>
      </c>
      <c r="CR5" s="13">
        <f t="shared" si="1"/>
        <v>81.5</v>
      </c>
      <c r="CS5" s="13">
        <f t="shared" si="2"/>
        <v>79.333333333333329</v>
      </c>
      <c r="CT5" s="13">
        <f t="shared" si="3"/>
        <v>79.666666666666671</v>
      </c>
      <c r="CU5" s="13">
        <f t="shared" si="4"/>
        <v>80.333333333333329</v>
      </c>
      <c r="CV5" s="13">
        <f t="shared" si="5"/>
        <v>82</v>
      </c>
      <c r="CW5" s="13">
        <f t="shared" si="6"/>
        <v>81.5</v>
      </c>
      <c r="CX5" s="13">
        <f t="shared" si="7"/>
        <v>81</v>
      </c>
      <c r="CY5" s="13">
        <f t="shared" si="8"/>
        <v>83.5</v>
      </c>
      <c r="CZ5" s="13">
        <f t="shared" si="9"/>
        <v>83</v>
      </c>
      <c r="DA5" s="13">
        <f t="shared" si="10"/>
        <v>79.5</v>
      </c>
      <c r="DB5" s="13">
        <f t="shared" si="11"/>
        <v>78.5</v>
      </c>
      <c r="DC5" s="13">
        <f t="shared" si="12"/>
        <v>75.5</v>
      </c>
      <c r="DD5" s="13">
        <f t="shared" si="13"/>
        <v>78</v>
      </c>
      <c r="DE5" s="13">
        <f t="shared" si="14"/>
        <v>80.75</v>
      </c>
      <c r="DF5" s="13">
        <f t="shared" si="15"/>
        <v>80</v>
      </c>
      <c r="DG5" s="13">
        <f t="shared" si="16"/>
        <v>81.5</v>
      </c>
      <c r="DH5" s="13">
        <f t="shared" si="17"/>
        <v>84.75</v>
      </c>
      <c r="DI5" s="13">
        <f t="shared" si="18"/>
        <v>84</v>
      </c>
      <c r="DJ5" s="13">
        <f t="shared" si="19"/>
        <v>80</v>
      </c>
      <c r="DK5" s="13">
        <f t="shared" si="20"/>
        <v>80.791666666666657</v>
      </c>
    </row>
    <row r="6" spans="1:115">
      <c r="A6">
        <v>5</v>
      </c>
      <c r="B6">
        <f>'DATA US'!B19</f>
        <v>222310005</v>
      </c>
      <c r="C6" t="str">
        <f>'DATA US'!F19</f>
        <v>BEKASI</v>
      </c>
      <c r="D6" s="37" t="str">
        <f>'DATA US'!G19</f>
        <v>8 Agustus 2007</v>
      </c>
      <c r="E6" t="str">
        <f>'DATA US'!C19</f>
        <v>0072858452</v>
      </c>
      <c r="F6" t="str">
        <f>'DATA US'!D19</f>
        <v>DEDEN RIZKY SAPUTRA</v>
      </c>
      <c r="G6" s="13">
        <v>84</v>
      </c>
      <c r="H6" s="13">
        <v>84</v>
      </c>
      <c r="I6" s="13">
        <v>85</v>
      </c>
      <c r="J6" s="13">
        <v>86</v>
      </c>
      <c r="K6" s="13">
        <v>88</v>
      </c>
      <c r="L6" s="13">
        <v>90</v>
      </c>
      <c r="M6" s="13">
        <v>86</v>
      </c>
      <c r="N6" s="13">
        <v>86</v>
      </c>
      <c r="O6" s="13">
        <v>85</v>
      </c>
      <c r="P6" s="13">
        <v>86</v>
      </c>
      <c r="Q6" s="13">
        <v>86</v>
      </c>
      <c r="R6" s="13">
        <v>90</v>
      </c>
      <c r="S6" s="13">
        <v>79</v>
      </c>
      <c r="T6" s="13">
        <v>84</v>
      </c>
      <c r="U6" s="13">
        <v>91</v>
      </c>
      <c r="V6" s="13">
        <v>91</v>
      </c>
      <c r="W6" s="13">
        <v>91</v>
      </c>
      <c r="X6" s="13">
        <v>90</v>
      </c>
      <c r="Y6" s="13">
        <v>79</v>
      </c>
      <c r="Z6" s="13">
        <v>78</v>
      </c>
      <c r="AA6" s="13">
        <v>86</v>
      </c>
      <c r="AB6" s="13">
        <v>86</v>
      </c>
      <c r="AC6" s="13">
        <v>89</v>
      </c>
      <c r="AD6" s="13">
        <v>91</v>
      </c>
      <c r="AE6" s="13">
        <v>82</v>
      </c>
      <c r="AF6" s="13">
        <v>79</v>
      </c>
      <c r="AG6" s="13">
        <v>85</v>
      </c>
      <c r="AH6" s="13">
        <v>87</v>
      </c>
      <c r="AI6" s="13">
        <v>87</v>
      </c>
      <c r="AJ6" s="13">
        <v>95</v>
      </c>
      <c r="AK6" s="13">
        <v>87</v>
      </c>
      <c r="AL6" s="13">
        <v>88</v>
      </c>
      <c r="AM6" t="s">
        <v>992</v>
      </c>
      <c r="AN6" t="s">
        <v>992</v>
      </c>
      <c r="AO6" t="s">
        <v>992</v>
      </c>
      <c r="AP6" t="s">
        <v>992</v>
      </c>
      <c r="AQ6" s="13">
        <v>83</v>
      </c>
      <c r="AR6" s="13">
        <v>85</v>
      </c>
      <c r="AS6" s="13">
        <v>80</v>
      </c>
      <c r="AT6" s="13">
        <v>82</v>
      </c>
      <c r="AU6" s="13">
        <v>84</v>
      </c>
      <c r="AV6" s="13">
        <v>84</v>
      </c>
      <c r="AW6" s="13">
        <v>83</v>
      </c>
      <c r="AX6" s="13">
        <v>85</v>
      </c>
      <c r="AY6" s="13">
        <v>87</v>
      </c>
      <c r="AZ6" s="13">
        <v>86</v>
      </c>
      <c r="BA6" s="13">
        <v>87</v>
      </c>
      <c r="BB6" s="13">
        <v>87</v>
      </c>
      <c r="BC6" s="13">
        <v>88</v>
      </c>
      <c r="BD6" s="13">
        <v>89</v>
      </c>
      <c r="BE6" s="13">
        <v>88</v>
      </c>
      <c r="BF6" s="13">
        <v>89</v>
      </c>
      <c r="BG6" s="13">
        <v>76</v>
      </c>
      <c r="BH6" s="13">
        <v>82</v>
      </c>
      <c r="BI6" s="13">
        <v>85</v>
      </c>
      <c r="BJ6" s="13">
        <v>88</v>
      </c>
      <c r="BK6" s="13">
        <v>84</v>
      </c>
      <c r="BL6" s="13">
        <v>88</v>
      </c>
      <c r="BM6" s="13">
        <v>88</v>
      </c>
      <c r="BN6" s="13">
        <v>86</v>
      </c>
      <c r="BO6" s="13">
        <v>89</v>
      </c>
      <c r="BP6" s="13">
        <v>90</v>
      </c>
      <c r="BQ6" s="13">
        <v>86</v>
      </c>
      <c r="BR6" s="13">
        <v>89</v>
      </c>
      <c r="BS6">
        <v>88</v>
      </c>
      <c r="BT6">
        <v>88</v>
      </c>
      <c r="BU6" s="13">
        <v>91</v>
      </c>
      <c r="BV6" s="13">
        <v>90</v>
      </c>
      <c r="BW6" s="13">
        <v>88</v>
      </c>
      <c r="BX6" s="13">
        <v>88</v>
      </c>
      <c r="BY6" s="13">
        <v>87</v>
      </c>
      <c r="BZ6" s="13">
        <v>90</v>
      </c>
      <c r="CA6" s="13">
        <v>85</v>
      </c>
      <c r="CB6" s="13">
        <v>87</v>
      </c>
      <c r="CC6" t="s">
        <v>1005</v>
      </c>
      <c r="CD6" t="s">
        <v>994</v>
      </c>
      <c r="CE6" s="36" t="s">
        <v>1006</v>
      </c>
      <c r="CF6" s="23" t="s">
        <v>1000</v>
      </c>
      <c r="CJ6" s="23"/>
      <c r="CK6" s="13">
        <v>91.6666666666667</v>
      </c>
      <c r="CL6" s="13">
        <v>88.6666666666667</v>
      </c>
      <c r="CM6">
        <v>93</v>
      </c>
      <c r="CN6">
        <v>87</v>
      </c>
      <c r="CO6" s="13">
        <v>82.25</v>
      </c>
      <c r="CP6" s="13">
        <v>89.5555555555556</v>
      </c>
      <c r="CQ6" s="13">
        <f t="shared" si="0"/>
        <v>86.166666666666671</v>
      </c>
      <c r="CR6" s="13">
        <f t="shared" si="1"/>
        <v>86.5</v>
      </c>
      <c r="CS6" s="13">
        <f t="shared" si="2"/>
        <v>84.833333333333329</v>
      </c>
      <c r="CT6" s="13">
        <f t="shared" si="3"/>
        <v>87.666666666666671</v>
      </c>
      <c r="CU6" s="13">
        <f t="shared" si="4"/>
        <v>85.833333333333329</v>
      </c>
      <c r="CV6" s="13">
        <f t="shared" si="5"/>
        <v>84</v>
      </c>
      <c r="CW6" s="13">
        <f t="shared" si="6"/>
        <v>82.5</v>
      </c>
      <c r="CX6" s="13">
        <f t="shared" si="7"/>
        <v>86</v>
      </c>
      <c r="CY6" s="13">
        <f t="shared" si="8"/>
        <v>87</v>
      </c>
      <c r="CZ6" s="13">
        <f t="shared" si="9"/>
        <v>86.5</v>
      </c>
      <c r="DA6" s="13">
        <f t="shared" si="10"/>
        <v>84</v>
      </c>
      <c r="DB6" s="13">
        <f t="shared" si="11"/>
        <v>88.5</v>
      </c>
      <c r="DC6" s="13">
        <f t="shared" si="12"/>
        <v>79</v>
      </c>
      <c r="DD6" s="13">
        <f t="shared" si="13"/>
        <v>88.5</v>
      </c>
      <c r="DE6" s="13">
        <f t="shared" si="14"/>
        <v>86.25</v>
      </c>
      <c r="DF6" s="13">
        <f t="shared" si="15"/>
        <v>88.25</v>
      </c>
      <c r="DG6" s="13">
        <f t="shared" si="16"/>
        <v>87.75</v>
      </c>
      <c r="DH6" s="13">
        <f t="shared" si="17"/>
        <v>88.25</v>
      </c>
      <c r="DI6" s="13">
        <f t="shared" si="18"/>
        <v>90.5</v>
      </c>
      <c r="DJ6" s="13">
        <f t="shared" si="19"/>
        <v>87.5</v>
      </c>
      <c r="DK6" s="13">
        <f t="shared" si="20"/>
        <v>86.275000000000006</v>
      </c>
    </row>
    <row r="7" spans="1:115">
      <c r="A7">
        <v>6</v>
      </c>
      <c r="B7">
        <f>'DATA US'!B20</f>
        <v>222310006</v>
      </c>
      <c r="C7" t="str">
        <f>'DATA US'!F20</f>
        <v>BEKASI</v>
      </c>
      <c r="D7" s="37" t="str">
        <f>'DATA US'!G20</f>
        <v>8 Agustus 2007</v>
      </c>
      <c r="E7" t="str">
        <f>'DATA US'!C20</f>
        <v>0073210618</v>
      </c>
      <c r="F7" t="str">
        <f>'DATA US'!D20</f>
        <v>DENI RAHMAT SAPUTRA</v>
      </c>
      <c r="G7" s="13">
        <v>85</v>
      </c>
      <c r="H7" s="13">
        <v>85</v>
      </c>
      <c r="I7" s="13">
        <v>87</v>
      </c>
      <c r="J7" s="13">
        <v>88</v>
      </c>
      <c r="K7" s="13">
        <v>86</v>
      </c>
      <c r="L7" s="13">
        <v>87</v>
      </c>
      <c r="M7" s="13">
        <v>86</v>
      </c>
      <c r="N7" s="13">
        <v>86</v>
      </c>
      <c r="O7" s="13">
        <v>85</v>
      </c>
      <c r="P7" s="13">
        <v>85</v>
      </c>
      <c r="Q7" s="13">
        <v>86</v>
      </c>
      <c r="R7" s="13">
        <v>90</v>
      </c>
      <c r="S7" s="13">
        <v>81</v>
      </c>
      <c r="T7" s="13">
        <v>87</v>
      </c>
      <c r="U7" s="13">
        <v>84</v>
      </c>
      <c r="V7" s="13">
        <v>91</v>
      </c>
      <c r="W7" s="13">
        <v>91</v>
      </c>
      <c r="X7" s="13">
        <v>91</v>
      </c>
      <c r="Y7" s="13">
        <v>80</v>
      </c>
      <c r="Z7" s="13">
        <v>80</v>
      </c>
      <c r="AA7" s="13">
        <v>87</v>
      </c>
      <c r="AB7" s="13">
        <v>87</v>
      </c>
      <c r="AC7" s="13">
        <v>88</v>
      </c>
      <c r="AD7" s="13">
        <v>91</v>
      </c>
      <c r="AE7" s="13">
        <v>82</v>
      </c>
      <c r="AF7" s="13">
        <v>78</v>
      </c>
      <c r="AG7" s="13">
        <v>84</v>
      </c>
      <c r="AH7" s="13">
        <v>83</v>
      </c>
      <c r="AI7" s="13">
        <v>90</v>
      </c>
      <c r="AJ7" s="13">
        <v>95</v>
      </c>
      <c r="AK7" s="13">
        <v>87</v>
      </c>
      <c r="AL7" s="13">
        <v>89</v>
      </c>
      <c r="AM7" t="s">
        <v>992</v>
      </c>
      <c r="AN7" t="s">
        <v>992</v>
      </c>
      <c r="AO7" t="s">
        <v>992</v>
      </c>
      <c r="AP7" t="s">
        <v>992</v>
      </c>
      <c r="AQ7" s="13">
        <v>83</v>
      </c>
      <c r="AR7" s="13">
        <v>84</v>
      </c>
      <c r="AS7" s="13">
        <v>81</v>
      </c>
      <c r="AT7" s="13">
        <v>82</v>
      </c>
      <c r="AU7" s="13">
        <v>89</v>
      </c>
      <c r="AV7" s="13">
        <v>87</v>
      </c>
      <c r="AW7" s="13">
        <v>81</v>
      </c>
      <c r="AX7" s="13">
        <v>85</v>
      </c>
      <c r="AY7" s="13">
        <v>86</v>
      </c>
      <c r="AZ7" s="13">
        <v>86</v>
      </c>
      <c r="BA7" s="13">
        <v>86</v>
      </c>
      <c r="BB7" s="13">
        <v>86</v>
      </c>
      <c r="BC7" s="13">
        <v>86</v>
      </c>
      <c r="BD7" s="13">
        <v>90</v>
      </c>
      <c r="BE7" s="13">
        <v>88</v>
      </c>
      <c r="BF7" s="13">
        <v>88</v>
      </c>
      <c r="BG7" s="13">
        <v>75</v>
      </c>
      <c r="BH7" s="13">
        <v>76</v>
      </c>
      <c r="BI7" s="13">
        <v>85</v>
      </c>
      <c r="BJ7" s="13">
        <v>88</v>
      </c>
      <c r="BK7" s="13">
        <v>83</v>
      </c>
      <c r="BL7" s="13">
        <v>88</v>
      </c>
      <c r="BM7" s="13">
        <v>88</v>
      </c>
      <c r="BN7" s="13">
        <v>86</v>
      </c>
      <c r="BO7" s="13">
        <v>89</v>
      </c>
      <c r="BP7" s="13">
        <v>90</v>
      </c>
      <c r="BQ7" s="13">
        <v>87</v>
      </c>
      <c r="BR7" s="13">
        <v>87</v>
      </c>
      <c r="BS7">
        <v>88</v>
      </c>
      <c r="BT7">
        <v>88</v>
      </c>
      <c r="BU7" s="13">
        <v>90</v>
      </c>
      <c r="BV7" s="13">
        <v>90</v>
      </c>
      <c r="BW7" s="13">
        <v>87</v>
      </c>
      <c r="BX7" s="13">
        <v>88</v>
      </c>
      <c r="BY7" s="13">
        <v>87</v>
      </c>
      <c r="BZ7" s="13">
        <v>90</v>
      </c>
      <c r="CA7" s="13">
        <v>86</v>
      </c>
      <c r="CB7" s="13">
        <v>88</v>
      </c>
      <c r="CC7" t="s">
        <v>1007</v>
      </c>
      <c r="CD7" t="s">
        <v>994</v>
      </c>
      <c r="CE7" s="36" t="s">
        <v>1008</v>
      </c>
      <c r="CF7" s="23" t="s">
        <v>996</v>
      </c>
      <c r="CJ7" s="23"/>
      <c r="CK7" s="13">
        <v>91.6666666666667</v>
      </c>
      <c r="CL7" s="13">
        <v>87.6666666666667</v>
      </c>
      <c r="CM7">
        <v>95</v>
      </c>
      <c r="CN7">
        <v>80</v>
      </c>
      <c r="CO7" s="13">
        <v>82.25</v>
      </c>
      <c r="CP7" s="13">
        <v>89.3333333333333</v>
      </c>
      <c r="CQ7" s="13">
        <f t="shared" si="0"/>
        <v>86.333333333333329</v>
      </c>
      <c r="CR7" s="13">
        <f t="shared" si="1"/>
        <v>86.333333333333329</v>
      </c>
      <c r="CS7" s="13">
        <f t="shared" si="2"/>
        <v>85.5</v>
      </c>
      <c r="CT7" s="13">
        <f t="shared" si="3"/>
        <v>87.5</v>
      </c>
      <c r="CU7" s="13">
        <f t="shared" si="4"/>
        <v>85.333333333333329</v>
      </c>
      <c r="CV7" s="13">
        <f t="shared" si="5"/>
        <v>83.5</v>
      </c>
      <c r="CW7" s="13">
        <f t="shared" si="6"/>
        <v>84.75</v>
      </c>
      <c r="CX7" s="13">
        <f t="shared" si="7"/>
        <v>87</v>
      </c>
      <c r="CY7" s="13">
        <f t="shared" si="8"/>
        <v>86</v>
      </c>
      <c r="CZ7" s="13">
        <f t="shared" si="9"/>
        <v>86</v>
      </c>
      <c r="DA7" s="13">
        <f t="shared" si="10"/>
        <v>83</v>
      </c>
      <c r="DB7" s="13">
        <f t="shared" si="11"/>
        <v>88</v>
      </c>
      <c r="DC7" s="13">
        <f t="shared" si="12"/>
        <v>75.5</v>
      </c>
      <c r="DD7" s="13">
        <f t="shared" si="13"/>
        <v>88</v>
      </c>
      <c r="DE7" s="13">
        <f t="shared" si="14"/>
        <v>86</v>
      </c>
      <c r="DF7" s="13">
        <f t="shared" si="15"/>
        <v>88.25</v>
      </c>
      <c r="DG7" s="13">
        <f t="shared" si="16"/>
        <v>87.5</v>
      </c>
      <c r="DH7" s="13">
        <f t="shared" si="17"/>
        <v>88</v>
      </c>
      <c r="DI7" s="13">
        <f t="shared" si="18"/>
        <v>90</v>
      </c>
      <c r="DJ7" s="13">
        <f t="shared" si="19"/>
        <v>88</v>
      </c>
      <c r="DK7" s="13">
        <f t="shared" si="20"/>
        <v>86.025000000000006</v>
      </c>
    </row>
    <row r="8" spans="1:115">
      <c r="A8">
        <v>7</v>
      </c>
      <c r="B8">
        <f>'DATA US'!B21</f>
        <v>222310007</v>
      </c>
      <c r="C8" t="str">
        <f>'DATA US'!F21</f>
        <v>BEKASI</v>
      </c>
      <c r="D8" s="37" t="str">
        <f>'DATA US'!G21</f>
        <v>14 April 2007</v>
      </c>
      <c r="E8" t="str">
        <f>'DATA US'!C21</f>
        <v>0072762394</v>
      </c>
      <c r="F8" t="str">
        <f>'DATA US'!D21</f>
        <v>DITO AJI TRI CAHYO</v>
      </c>
      <c r="G8" s="13">
        <v>81</v>
      </c>
      <c r="H8" s="13">
        <v>82</v>
      </c>
      <c r="I8" s="13">
        <v>82</v>
      </c>
      <c r="J8" s="13">
        <v>81</v>
      </c>
      <c r="K8" s="13">
        <v>83</v>
      </c>
      <c r="L8" s="13">
        <v>84</v>
      </c>
      <c r="M8" s="13">
        <v>86</v>
      </c>
      <c r="N8" s="13">
        <v>86</v>
      </c>
      <c r="O8" s="13">
        <v>84</v>
      </c>
      <c r="P8" s="13">
        <v>85</v>
      </c>
      <c r="Q8" s="13">
        <v>85</v>
      </c>
      <c r="R8" s="13">
        <v>87</v>
      </c>
      <c r="S8" s="13">
        <v>85</v>
      </c>
      <c r="T8" s="13">
        <v>84</v>
      </c>
      <c r="U8" s="13">
        <v>91</v>
      </c>
      <c r="V8" s="13">
        <v>91</v>
      </c>
      <c r="W8" s="13">
        <v>90</v>
      </c>
      <c r="X8" s="13">
        <v>90</v>
      </c>
      <c r="Y8" s="13">
        <v>76</v>
      </c>
      <c r="Z8" s="13">
        <v>78</v>
      </c>
      <c r="AA8" s="13">
        <v>85</v>
      </c>
      <c r="AB8" s="13">
        <v>85</v>
      </c>
      <c r="AC8" s="13">
        <v>84</v>
      </c>
      <c r="AD8" s="13">
        <v>90</v>
      </c>
      <c r="AE8" s="13">
        <v>78</v>
      </c>
      <c r="AF8" s="13">
        <v>78</v>
      </c>
      <c r="AG8" s="13">
        <v>83</v>
      </c>
      <c r="AH8" s="13">
        <v>87</v>
      </c>
      <c r="AI8" s="13">
        <v>87</v>
      </c>
      <c r="AJ8" s="13">
        <v>90</v>
      </c>
      <c r="AK8" s="13">
        <v>85</v>
      </c>
      <c r="AL8" s="13">
        <v>86</v>
      </c>
      <c r="AM8" t="s">
        <v>992</v>
      </c>
      <c r="AN8" t="s">
        <v>992</v>
      </c>
      <c r="AO8" t="s">
        <v>992</v>
      </c>
      <c r="AP8" t="s">
        <v>992</v>
      </c>
      <c r="AQ8" s="13">
        <v>84</v>
      </c>
      <c r="AR8" s="13">
        <v>84</v>
      </c>
      <c r="AS8" s="13">
        <v>81</v>
      </c>
      <c r="AT8" s="13">
        <v>82</v>
      </c>
      <c r="AU8" s="13">
        <v>89</v>
      </c>
      <c r="AV8" s="13">
        <v>85</v>
      </c>
      <c r="AW8" s="13">
        <v>80</v>
      </c>
      <c r="AX8" s="13">
        <v>84</v>
      </c>
      <c r="AY8" s="13">
        <v>86</v>
      </c>
      <c r="AZ8" s="13">
        <v>86</v>
      </c>
      <c r="BA8" s="13">
        <v>85</v>
      </c>
      <c r="BB8" s="13">
        <v>85</v>
      </c>
      <c r="BC8" s="13">
        <v>86</v>
      </c>
      <c r="BD8" s="13">
        <v>88</v>
      </c>
      <c r="BE8" s="13">
        <v>84</v>
      </c>
      <c r="BF8" s="13">
        <v>88</v>
      </c>
      <c r="BG8" s="13">
        <v>75</v>
      </c>
      <c r="BH8" s="13">
        <v>80</v>
      </c>
      <c r="BI8" s="13">
        <v>83</v>
      </c>
      <c r="BJ8" s="13">
        <v>87</v>
      </c>
      <c r="BK8" s="13">
        <v>83</v>
      </c>
      <c r="BL8" s="13">
        <v>88</v>
      </c>
      <c r="BM8" s="13">
        <v>87</v>
      </c>
      <c r="BN8" s="13">
        <v>85</v>
      </c>
      <c r="BO8" s="13">
        <v>87</v>
      </c>
      <c r="BP8" s="13">
        <v>88</v>
      </c>
      <c r="BQ8" s="13">
        <v>84</v>
      </c>
      <c r="BR8" s="13">
        <v>85</v>
      </c>
      <c r="BS8">
        <v>85</v>
      </c>
      <c r="BT8">
        <v>87</v>
      </c>
      <c r="BU8" s="13">
        <v>81</v>
      </c>
      <c r="BV8" s="13">
        <v>90</v>
      </c>
      <c r="BW8" s="13">
        <v>87</v>
      </c>
      <c r="BX8" s="13">
        <v>88</v>
      </c>
      <c r="BY8" s="13">
        <v>82</v>
      </c>
      <c r="BZ8" s="13">
        <v>90</v>
      </c>
      <c r="CA8" s="13">
        <v>85</v>
      </c>
      <c r="CB8" s="13">
        <v>86</v>
      </c>
      <c r="CC8" s="19" t="s">
        <v>1005</v>
      </c>
      <c r="CD8" s="19" t="s">
        <v>994</v>
      </c>
      <c r="CE8" s="43" t="s">
        <v>1009</v>
      </c>
      <c r="CF8" s="24" t="s">
        <v>1000</v>
      </c>
      <c r="CG8" s="19" t="s">
        <v>1010</v>
      </c>
      <c r="CH8" s="19" t="s">
        <v>1011</v>
      </c>
      <c r="CI8" s="19" t="s">
        <v>1009</v>
      </c>
      <c r="CJ8" s="302" t="s">
        <v>1000</v>
      </c>
      <c r="CK8" s="13">
        <v>91</v>
      </c>
      <c r="CL8" s="13">
        <v>83</v>
      </c>
      <c r="CM8">
        <v>82</v>
      </c>
      <c r="CN8">
        <v>87</v>
      </c>
      <c r="CO8" s="13">
        <v>83</v>
      </c>
      <c r="CP8" s="13">
        <v>88.8333333333333</v>
      </c>
      <c r="CQ8" s="13">
        <f t="shared" si="0"/>
        <v>82.166666666666671</v>
      </c>
      <c r="CR8" s="13">
        <f t="shared" si="1"/>
        <v>85.5</v>
      </c>
      <c r="CS8" s="13">
        <f t="shared" si="2"/>
        <v>83</v>
      </c>
      <c r="CT8" s="13">
        <f t="shared" si="3"/>
        <v>88.5</v>
      </c>
      <c r="CU8" s="13">
        <f t="shared" si="4"/>
        <v>83.833333333333329</v>
      </c>
      <c r="CV8" s="13">
        <f t="shared" si="5"/>
        <v>84</v>
      </c>
      <c r="CW8" s="13">
        <f t="shared" si="6"/>
        <v>84.25</v>
      </c>
      <c r="CX8" s="13">
        <f t="shared" si="7"/>
        <v>85.5</v>
      </c>
      <c r="CY8" s="13">
        <f t="shared" si="8"/>
        <v>85</v>
      </c>
      <c r="CZ8" s="13">
        <f t="shared" si="9"/>
        <v>86</v>
      </c>
      <c r="DA8" s="13">
        <f t="shared" si="10"/>
        <v>82</v>
      </c>
      <c r="DB8" s="13">
        <f t="shared" si="11"/>
        <v>86</v>
      </c>
      <c r="DC8" s="13">
        <f t="shared" si="12"/>
        <v>77.5</v>
      </c>
      <c r="DD8" s="13">
        <f t="shared" si="13"/>
        <v>87</v>
      </c>
      <c r="DE8" s="13">
        <f t="shared" si="14"/>
        <v>85.25</v>
      </c>
      <c r="DF8" s="13">
        <f t="shared" si="15"/>
        <v>86.75</v>
      </c>
      <c r="DG8" s="13">
        <f t="shared" si="16"/>
        <v>85.25</v>
      </c>
      <c r="DH8" s="13">
        <f t="shared" si="17"/>
        <v>86.75</v>
      </c>
      <c r="DI8" s="13">
        <f t="shared" si="18"/>
        <v>85.5</v>
      </c>
      <c r="DJ8" s="13">
        <f t="shared" si="19"/>
        <v>85.5</v>
      </c>
      <c r="DK8" s="13">
        <f t="shared" si="20"/>
        <v>84.762500000000003</v>
      </c>
    </row>
    <row r="9" spans="1:115">
      <c r="A9">
        <v>8</v>
      </c>
      <c r="B9">
        <f>'DATA US'!B22</f>
        <v>222310008</v>
      </c>
      <c r="C9" t="str">
        <f>'DATA US'!F22</f>
        <v>BEKASI</v>
      </c>
      <c r="D9" s="37" t="str">
        <f>'DATA US'!G22</f>
        <v>10 Januari 2007</v>
      </c>
      <c r="E9" t="str">
        <f>'DATA US'!C22</f>
        <v>0078607611</v>
      </c>
      <c r="F9" t="str">
        <f>'DATA US'!D22</f>
        <v>EGA MAULANA RAYHAN</v>
      </c>
      <c r="G9" s="13">
        <v>81</v>
      </c>
      <c r="H9" s="13">
        <v>80</v>
      </c>
      <c r="I9" s="13">
        <v>80</v>
      </c>
      <c r="J9" s="13">
        <v>83</v>
      </c>
      <c r="K9" s="13">
        <v>84</v>
      </c>
      <c r="L9" s="13">
        <v>84</v>
      </c>
      <c r="M9" s="13">
        <v>81</v>
      </c>
      <c r="N9" s="13">
        <v>83</v>
      </c>
      <c r="O9" s="13">
        <v>81</v>
      </c>
      <c r="P9" s="13">
        <v>83</v>
      </c>
      <c r="Q9" s="13">
        <v>83</v>
      </c>
      <c r="R9" s="13">
        <v>85</v>
      </c>
      <c r="S9" s="13">
        <v>78</v>
      </c>
      <c r="T9" s="13">
        <v>79</v>
      </c>
      <c r="U9" s="13">
        <v>89</v>
      </c>
      <c r="V9" s="13">
        <v>89</v>
      </c>
      <c r="W9" s="13">
        <v>90</v>
      </c>
      <c r="X9" s="13">
        <v>90</v>
      </c>
      <c r="Y9" s="13">
        <v>75</v>
      </c>
      <c r="Z9" s="13">
        <v>75</v>
      </c>
      <c r="AA9" s="13">
        <v>78</v>
      </c>
      <c r="AB9" s="13">
        <v>83</v>
      </c>
      <c r="AC9" s="13">
        <v>81</v>
      </c>
      <c r="AD9" s="13">
        <v>90</v>
      </c>
      <c r="AE9" s="13">
        <v>81</v>
      </c>
      <c r="AF9" s="13">
        <v>78</v>
      </c>
      <c r="AG9" s="13">
        <v>81</v>
      </c>
      <c r="AH9" s="13">
        <v>80</v>
      </c>
      <c r="AI9" s="13">
        <v>83</v>
      </c>
      <c r="AJ9" s="13">
        <v>90</v>
      </c>
      <c r="AK9" s="13">
        <v>82</v>
      </c>
      <c r="AL9" s="13">
        <v>81</v>
      </c>
      <c r="AM9" t="s">
        <v>992</v>
      </c>
      <c r="AN9" t="s">
        <v>992</v>
      </c>
      <c r="AO9" t="s">
        <v>992</v>
      </c>
      <c r="AP9" t="s">
        <v>992</v>
      </c>
      <c r="AQ9" s="13">
        <v>81</v>
      </c>
      <c r="AR9" s="13">
        <v>80</v>
      </c>
      <c r="AS9" s="13">
        <v>81</v>
      </c>
      <c r="AT9" s="13">
        <v>81</v>
      </c>
      <c r="AU9" s="13">
        <v>89</v>
      </c>
      <c r="AV9" s="13">
        <v>88</v>
      </c>
      <c r="AW9" s="13">
        <v>77</v>
      </c>
      <c r="AX9" s="13">
        <v>83</v>
      </c>
      <c r="AY9" s="13">
        <v>84</v>
      </c>
      <c r="AZ9" s="13">
        <v>84</v>
      </c>
      <c r="BA9" s="13">
        <v>82</v>
      </c>
      <c r="BB9" s="13">
        <v>83</v>
      </c>
      <c r="BC9" s="13">
        <v>81</v>
      </c>
      <c r="BD9" s="13">
        <v>86</v>
      </c>
      <c r="BE9" s="13">
        <v>77</v>
      </c>
      <c r="BF9" s="13">
        <v>86</v>
      </c>
      <c r="BG9" s="13">
        <v>75</v>
      </c>
      <c r="BH9" s="13">
        <v>76</v>
      </c>
      <c r="BI9" s="13">
        <v>85</v>
      </c>
      <c r="BJ9" s="13">
        <v>87</v>
      </c>
      <c r="BK9" s="13">
        <v>83</v>
      </c>
      <c r="BL9" s="13">
        <v>88</v>
      </c>
      <c r="BM9" s="13">
        <v>86</v>
      </c>
      <c r="BN9" s="13">
        <v>85</v>
      </c>
      <c r="BO9" s="13">
        <v>89</v>
      </c>
      <c r="BP9" s="13">
        <v>90</v>
      </c>
      <c r="BQ9" s="13">
        <v>83</v>
      </c>
      <c r="BR9" s="13">
        <v>87</v>
      </c>
      <c r="BS9">
        <v>88</v>
      </c>
      <c r="BT9">
        <v>88</v>
      </c>
      <c r="BU9" s="13">
        <v>87</v>
      </c>
      <c r="BV9">
        <v>87</v>
      </c>
      <c r="BW9" s="13">
        <v>85</v>
      </c>
      <c r="BX9" s="13">
        <v>85</v>
      </c>
      <c r="BY9" s="13">
        <v>88</v>
      </c>
      <c r="BZ9">
        <v>87</v>
      </c>
      <c r="CA9" s="13">
        <v>81</v>
      </c>
      <c r="CB9" s="13">
        <v>84</v>
      </c>
      <c r="CC9" s="19" t="s">
        <v>1012</v>
      </c>
      <c r="CD9" s="19" t="s">
        <v>1013</v>
      </c>
      <c r="CE9" s="43" t="s">
        <v>1014</v>
      </c>
      <c r="CF9" s="23" t="s">
        <v>996</v>
      </c>
      <c r="CJ9" s="23"/>
      <c r="CK9" s="13">
        <v>89.3333333333333</v>
      </c>
      <c r="CL9" s="13">
        <v>84</v>
      </c>
      <c r="CM9">
        <v>82</v>
      </c>
      <c r="CN9">
        <v>85</v>
      </c>
      <c r="CO9" s="13">
        <v>81.25</v>
      </c>
      <c r="CP9" s="13">
        <v>86.7777777777778</v>
      </c>
      <c r="CQ9" s="13">
        <f t="shared" si="0"/>
        <v>82</v>
      </c>
      <c r="CR9" s="13">
        <f t="shared" si="1"/>
        <v>82.666666666666671</v>
      </c>
      <c r="CS9" s="13">
        <f t="shared" si="2"/>
        <v>80.333333333333329</v>
      </c>
      <c r="CT9" s="13">
        <f t="shared" si="3"/>
        <v>85.833333333333329</v>
      </c>
      <c r="CU9" s="13">
        <f t="shared" si="4"/>
        <v>82.166666666666671</v>
      </c>
      <c r="CV9" s="13">
        <f t="shared" si="5"/>
        <v>80.5</v>
      </c>
      <c r="CW9" s="13">
        <f t="shared" si="6"/>
        <v>84.75</v>
      </c>
      <c r="CX9" s="13">
        <f t="shared" si="7"/>
        <v>82.5</v>
      </c>
      <c r="CY9" s="13">
        <f t="shared" si="8"/>
        <v>82.5</v>
      </c>
      <c r="CZ9" s="13">
        <f t="shared" si="9"/>
        <v>84</v>
      </c>
      <c r="DA9" s="13">
        <f t="shared" si="10"/>
        <v>80</v>
      </c>
      <c r="DB9" s="13">
        <f t="shared" si="11"/>
        <v>81.5</v>
      </c>
      <c r="DC9" s="13">
        <f t="shared" si="12"/>
        <v>75.5</v>
      </c>
      <c r="DD9" s="13">
        <f t="shared" si="13"/>
        <v>83.5</v>
      </c>
      <c r="DE9" s="13">
        <f t="shared" si="14"/>
        <v>85.75</v>
      </c>
      <c r="DF9" s="13">
        <f t="shared" si="15"/>
        <v>87.5</v>
      </c>
      <c r="DG9" s="13">
        <f t="shared" si="16"/>
        <v>86.5</v>
      </c>
      <c r="DH9" s="13">
        <f t="shared" si="17"/>
        <v>86.25</v>
      </c>
      <c r="DI9" s="13">
        <f t="shared" si="18"/>
        <v>87</v>
      </c>
      <c r="DJ9" s="13">
        <f t="shared" si="19"/>
        <v>81.5</v>
      </c>
      <c r="DK9" s="13">
        <f t="shared" si="20"/>
        <v>83.112499999999997</v>
      </c>
    </row>
    <row r="10" spans="1:115">
      <c r="A10">
        <v>9</v>
      </c>
      <c r="B10">
        <f>'DATA US'!B23</f>
        <v>222310009</v>
      </c>
      <c r="C10" t="str">
        <f>'DATA US'!F23</f>
        <v>BEKASI</v>
      </c>
      <c r="D10" s="37" t="str">
        <f>'DATA US'!G23</f>
        <v>3 Juli 2007</v>
      </c>
      <c r="E10" t="str">
        <f>'DATA US'!C23</f>
        <v>0071107397</v>
      </c>
      <c r="F10" t="str">
        <f>'DATA US'!D23</f>
        <v>FAUZA WIJAYA</v>
      </c>
      <c r="G10" s="13">
        <v>82</v>
      </c>
      <c r="H10" s="13">
        <v>83</v>
      </c>
      <c r="I10" s="13">
        <v>84</v>
      </c>
      <c r="J10" s="13">
        <v>83</v>
      </c>
      <c r="K10" s="13">
        <v>85</v>
      </c>
      <c r="L10" s="13">
        <v>86</v>
      </c>
      <c r="M10" s="13">
        <v>82</v>
      </c>
      <c r="N10" s="13">
        <v>84</v>
      </c>
      <c r="O10" s="13">
        <v>82</v>
      </c>
      <c r="P10" s="13">
        <v>83</v>
      </c>
      <c r="Q10" s="13">
        <v>83</v>
      </c>
      <c r="R10" s="13">
        <v>84</v>
      </c>
      <c r="S10" s="13">
        <v>84</v>
      </c>
      <c r="T10" s="13">
        <v>77</v>
      </c>
      <c r="U10" s="13">
        <v>89</v>
      </c>
      <c r="V10" s="13">
        <v>89</v>
      </c>
      <c r="W10" s="13">
        <v>90</v>
      </c>
      <c r="X10" s="13">
        <v>90</v>
      </c>
      <c r="Y10" s="13">
        <v>75</v>
      </c>
      <c r="Z10" s="13">
        <v>75</v>
      </c>
      <c r="AA10" s="13">
        <v>80</v>
      </c>
      <c r="AB10" s="13">
        <v>83</v>
      </c>
      <c r="AC10" s="13">
        <v>83</v>
      </c>
      <c r="AD10" s="13">
        <v>87</v>
      </c>
      <c r="AE10" s="13">
        <v>80</v>
      </c>
      <c r="AF10" s="13">
        <v>77</v>
      </c>
      <c r="AG10" s="13">
        <v>82</v>
      </c>
      <c r="AH10" s="13">
        <v>81</v>
      </c>
      <c r="AI10" s="13">
        <v>84</v>
      </c>
      <c r="AJ10" s="13">
        <v>85</v>
      </c>
      <c r="AK10" s="13">
        <v>84</v>
      </c>
      <c r="AL10" s="13">
        <v>86</v>
      </c>
      <c r="AM10" t="s">
        <v>992</v>
      </c>
      <c r="AN10" t="s">
        <v>992</v>
      </c>
      <c r="AO10" t="s">
        <v>992</v>
      </c>
      <c r="AP10" t="s">
        <v>992</v>
      </c>
      <c r="AQ10" s="13">
        <v>81</v>
      </c>
      <c r="AR10" s="13">
        <v>80</v>
      </c>
      <c r="AS10" s="13">
        <v>81</v>
      </c>
      <c r="AT10" s="13">
        <v>82</v>
      </c>
      <c r="AU10" s="13">
        <v>89</v>
      </c>
      <c r="AV10" s="13">
        <v>84</v>
      </c>
      <c r="AW10" s="13">
        <v>78</v>
      </c>
      <c r="AX10" s="13">
        <v>83</v>
      </c>
      <c r="AY10" s="13">
        <v>85</v>
      </c>
      <c r="AZ10" s="13">
        <v>86</v>
      </c>
      <c r="BA10" s="13">
        <v>85</v>
      </c>
      <c r="BB10" s="13">
        <v>85</v>
      </c>
      <c r="BC10" s="13">
        <v>84</v>
      </c>
      <c r="BD10" s="13">
        <v>83</v>
      </c>
      <c r="BE10" s="13">
        <v>82</v>
      </c>
      <c r="BF10" s="13">
        <v>81</v>
      </c>
      <c r="BG10" s="13">
        <v>75</v>
      </c>
      <c r="BH10" s="13">
        <v>76</v>
      </c>
      <c r="BI10" s="13">
        <v>82</v>
      </c>
      <c r="BJ10" s="13">
        <v>82</v>
      </c>
      <c r="BK10" s="13">
        <v>83</v>
      </c>
      <c r="BL10" s="13">
        <v>86</v>
      </c>
      <c r="BM10" s="13">
        <v>83</v>
      </c>
      <c r="BN10" s="13">
        <v>85</v>
      </c>
      <c r="BO10" s="13">
        <v>85</v>
      </c>
      <c r="BP10" s="13">
        <v>86</v>
      </c>
      <c r="BQ10" s="13">
        <v>81</v>
      </c>
      <c r="BR10" s="13">
        <v>83</v>
      </c>
      <c r="BS10">
        <v>87</v>
      </c>
      <c r="BT10">
        <v>86</v>
      </c>
      <c r="BU10" s="13">
        <v>85</v>
      </c>
      <c r="BV10">
        <v>89</v>
      </c>
      <c r="BW10" s="13">
        <v>87</v>
      </c>
      <c r="BX10" s="13">
        <v>87</v>
      </c>
      <c r="BY10" s="13">
        <v>86</v>
      </c>
      <c r="BZ10">
        <v>89</v>
      </c>
      <c r="CA10" s="13">
        <v>81</v>
      </c>
      <c r="CB10" s="13">
        <v>83</v>
      </c>
      <c r="CC10" s="19" t="s">
        <v>997</v>
      </c>
      <c r="CD10" s="19" t="s">
        <v>998</v>
      </c>
      <c r="CE10" s="43" t="s">
        <v>1015</v>
      </c>
      <c r="CF10" s="23" t="s">
        <v>1000</v>
      </c>
      <c r="CJ10" s="23"/>
      <c r="CK10" s="13">
        <v>91</v>
      </c>
      <c r="CL10" s="13">
        <v>85</v>
      </c>
      <c r="CM10">
        <v>81</v>
      </c>
      <c r="CN10">
        <v>87</v>
      </c>
      <c r="CO10" s="13">
        <v>83</v>
      </c>
      <c r="CP10" s="13">
        <v>88.75</v>
      </c>
      <c r="CQ10" s="13">
        <f t="shared" si="0"/>
        <v>83.833333333333329</v>
      </c>
      <c r="CR10" s="13">
        <f t="shared" si="1"/>
        <v>83</v>
      </c>
      <c r="CS10" s="13">
        <f t="shared" si="2"/>
        <v>80.5</v>
      </c>
      <c r="CT10" s="13">
        <f t="shared" si="3"/>
        <v>86.5</v>
      </c>
      <c r="CU10" s="13">
        <f t="shared" si="4"/>
        <v>81.5</v>
      </c>
      <c r="CV10" s="13">
        <f t="shared" si="5"/>
        <v>80.5</v>
      </c>
      <c r="CW10" s="13">
        <f t="shared" si="6"/>
        <v>84</v>
      </c>
      <c r="CX10" s="13">
        <f t="shared" si="7"/>
        <v>82</v>
      </c>
      <c r="CY10" s="13">
        <f t="shared" si="8"/>
        <v>85</v>
      </c>
      <c r="CZ10" s="13">
        <f t="shared" si="9"/>
        <v>85.5</v>
      </c>
      <c r="DA10" s="13">
        <f t="shared" si="10"/>
        <v>80.5</v>
      </c>
      <c r="DB10" s="13">
        <f t="shared" si="11"/>
        <v>81.5</v>
      </c>
      <c r="DC10" s="13">
        <f t="shared" si="12"/>
        <v>75.5</v>
      </c>
      <c r="DD10" s="13">
        <f t="shared" si="13"/>
        <v>83.5</v>
      </c>
      <c r="DE10" s="13">
        <f t="shared" si="14"/>
        <v>83.25</v>
      </c>
      <c r="DF10" s="13">
        <f t="shared" si="15"/>
        <v>84.75</v>
      </c>
      <c r="DG10" s="13">
        <f t="shared" si="16"/>
        <v>84.25</v>
      </c>
      <c r="DH10" s="13">
        <f t="shared" si="17"/>
        <v>87.25</v>
      </c>
      <c r="DI10" s="13">
        <f t="shared" si="18"/>
        <v>87</v>
      </c>
      <c r="DJ10" s="13">
        <f t="shared" si="19"/>
        <v>85</v>
      </c>
      <c r="DK10" s="13">
        <f t="shared" si="20"/>
        <v>83.24166666666666</v>
      </c>
    </row>
    <row r="11" spans="1:115">
      <c r="A11">
        <v>10</v>
      </c>
      <c r="B11">
        <f>'DATA US'!B24</f>
        <v>222310010</v>
      </c>
      <c r="C11" t="str">
        <f>'DATA US'!F24</f>
        <v>BEKASI</v>
      </c>
      <c r="D11" s="37" t="str">
        <f>'DATA US'!G24</f>
        <v>3 Oktober 2007</v>
      </c>
      <c r="E11" t="str">
        <f>'DATA US'!C24</f>
        <v>0072628439</v>
      </c>
      <c r="F11" t="str">
        <f>'DATA US'!D24</f>
        <v>FAZRI RAMDANI AL BASIT</v>
      </c>
      <c r="G11" s="13">
        <v>81</v>
      </c>
      <c r="H11" s="13">
        <v>81</v>
      </c>
      <c r="I11" s="13">
        <v>85</v>
      </c>
      <c r="J11" s="13">
        <v>83</v>
      </c>
      <c r="K11" s="13">
        <v>84</v>
      </c>
      <c r="L11" s="13">
        <v>85</v>
      </c>
      <c r="M11" s="13">
        <v>80</v>
      </c>
      <c r="N11" s="13">
        <v>83</v>
      </c>
      <c r="O11" s="13">
        <v>82</v>
      </c>
      <c r="P11" s="13">
        <v>83</v>
      </c>
      <c r="Q11" s="13">
        <v>83</v>
      </c>
      <c r="R11" s="13">
        <v>85</v>
      </c>
      <c r="S11" s="13">
        <v>83</v>
      </c>
      <c r="T11" s="13">
        <v>80</v>
      </c>
      <c r="U11" s="13">
        <v>89</v>
      </c>
      <c r="V11" s="13">
        <v>90</v>
      </c>
      <c r="W11" s="13">
        <v>89</v>
      </c>
      <c r="X11" s="13">
        <v>89</v>
      </c>
      <c r="Y11" s="13">
        <v>75</v>
      </c>
      <c r="Z11" s="13">
        <v>75</v>
      </c>
      <c r="AA11" s="13">
        <v>80</v>
      </c>
      <c r="AB11" s="13">
        <v>83</v>
      </c>
      <c r="AC11" s="13">
        <v>82</v>
      </c>
      <c r="AD11" s="13">
        <v>85</v>
      </c>
      <c r="AE11" s="13">
        <v>84</v>
      </c>
      <c r="AF11" s="13">
        <v>78</v>
      </c>
      <c r="AG11" s="13">
        <v>81</v>
      </c>
      <c r="AH11" s="13">
        <v>80</v>
      </c>
      <c r="AI11" s="13">
        <v>84</v>
      </c>
      <c r="AJ11" s="13">
        <v>85</v>
      </c>
      <c r="AK11" s="13">
        <v>82</v>
      </c>
      <c r="AL11" s="13">
        <v>83</v>
      </c>
      <c r="AM11" t="s">
        <v>992</v>
      </c>
      <c r="AN11" t="s">
        <v>992</v>
      </c>
      <c r="AO11" t="s">
        <v>992</v>
      </c>
      <c r="AP11" t="s">
        <v>992</v>
      </c>
      <c r="AQ11" s="13">
        <v>83</v>
      </c>
      <c r="AR11" s="13">
        <v>81</v>
      </c>
      <c r="AS11" s="13">
        <v>80</v>
      </c>
      <c r="AT11" s="13">
        <v>82</v>
      </c>
      <c r="AU11" s="13">
        <v>84</v>
      </c>
      <c r="AV11" s="13">
        <v>82</v>
      </c>
      <c r="AW11" s="13">
        <v>78</v>
      </c>
      <c r="AX11" s="13">
        <v>84</v>
      </c>
      <c r="AY11" s="13">
        <v>85</v>
      </c>
      <c r="AZ11" s="13">
        <v>85</v>
      </c>
      <c r="BA11" s="13">
        <v>83</v>
      </c>
      <c r="BB11" s="13">
        <v>84</v>
      </c>
      <c r="BC11" s="13">
        <v>75</v>
      </c>
      <c r="BD11" s="13">
        <v>87</v>
      </c>
      <c r="BE11" s="13">
        <v>75</v>
      </c>
      <c r="BF11" s="13">
        <v>85</v>
      </c>
      <c r="BG11" s="13">
        <v>75</v>
      </c>
      <c r="BH11" s="13">
        <v>80</v>
      </c>
      <c r="BI11" s="13">
        <v>86</v>
      </c>
      <c r="BJ11" s="13">
        <v>88</v>
      </c>
      <c r="BK11" s="13">
        <v>83</v>
      </c>
      <c r="BL11" s="13">
        <v>88</v>
      </c>
      <c r="BM11" s="13">
        <v>89</v>
      </c>
      <c r="BN11" s="13">
        <v>86</v>
      </c>
      <c r="BO11" s="13">
        <v>89</v>
      </c>
      <c r="BP11" s="13">
        <v>90</v>
      </c>
      <c r="BQ11" s="13">
        <v>85</v>
      </c>
      <c r="BR11" s="13">
        <v>87</v>
      </c>
      <c r="BS11">
        <v>88</v>
      </c>
      <c r="BT11">
        <v>88</v>
      </c>
      <c r="BU11" s="13">
        <v>88</v>
      </c>
      <c r="BV11">
        <v>89</v>
      </c>
      <c r="BW11" s="13">
        <v>87</v>
      </c>
      <c r="BX11" s="13">
        <v>87</v>
      </c>
      <c r="BY11" s="13">
        <v>86</v>
      </c>
      <c r="BZ11">
        <v>89</v>
      </c>
      <c r="CA11" s="13">
        <v>82</v>
      </c>
      <c r="CB11" s="13">
        <v>82</v>
      </c>
      <c r="CC11" s="19" t="s">
        <v>1005</v>
      </c>
      <c r="CD11" s="19" t="s">
        <v>994</v>
      </c>
      <c r="CE11" s="43" t="s">
        <v>1006</v>
      </c>
      <c r="CF11" s="23" t="s">
        <v>996</v>
      </c>
      <c r="CJ11" s="23"/>
      <c r="CK11" s="13">
        <v>90.3333333333333</v>
      </c>
      <c r="CL11" s="13">
        <v>84</v>
      </c>
      <c r="CM11">
        <v>85</v>
      </c>
      <c r="CN11">
        <v>88</v>
      </c>
      <c r="CO11" s="13">
        <v>81.25</v>
      </c>
      <c r="CP11" s="13">
        <v>87.1666666666667</v>
      </c>
      <c r="CQ11" s="13">
        <f t="shared" si="0"/>
        <v>83.166666666666671</v>
      </c>
      <c r="CR11" s="13">
        <f t="shared" si="1"/>
        <v>82.666666666666671</v>
      </c>
      <c r="CS11" s="13">
        <f t="shared" si="2"/>
        <v>80</v>
      </c>
      <c r="CT11" s="13">
        <f t="shared" si="3"/>
        <v>86.666666666666671</v>
      </c>
      <c r="CU11" s="13">
        <f t="shared" si="4"/>
        <v>82</v>
      </c>
      <c r="CV11" s="13">
        <f t="shared" si="5"/>
        <v>82</v>
      </c>
      <c r="CW11" s="13">
        <f t="shared" si="6"/>
        <v>82</v>
      </c>
      <c r="CX11" s="13">
        <f t="shared" si="7"/>
        <v>82</v>
      </c>
      <c r="CY11" s="13">
        <f t="shared" si="8"/>
        <v>83.5</v>
      </c>
      <c r="CZ11" s="13">
        <f t="shared" si="9"/>
        <v>85</v>
      </c>
      <c r="DA11" s="13">
        <f t="shared" si="10"/>
        <v>81</v>
      </c>
      <c r="DB11" s="13">
        <f t="shared" si="11"/>
        <v>80</v>
      </c>
      <c r="DC11" s="13">
        <f t="shared" si="12"/>
        <v>77.5</v>
      </c>
      <c r="DD11" s="13">
        <f t="shared" si="13"/>
        <v>81</v>
      </c>
      <c r="DE11" s="13">
        <f t="shared" si="14"/>
        <v>86.25</v>
      </c>
      <c r="DF11" s="13">
        <f t="shared" si="15"/>
        <v>88.5</v>
      </c>
      <c r="DG11" s="13">
        <f t="shared" si="16"/>
        <v>87</v>
      </c>
      <c r="DH11" s="13">
        <f t="shared" si="17"/>
        <v>87.25</v>
      </c>
      <c r="DI11" s="13">
        <f t="shared" si="18"/>
        <v>88.5</v>
      </c>
      <c r="DJ11" s="13">
        <f t="shared" si="19"/>
        <v>82.5</v>
      </c>
      <c r="DK11" s="13">
        <f t="shared" si="20"/>
        <v>83.424999999999997</v>
      </c>
    </row>
    <row r="12" spans="1:115">
      <c r="A12">
        <v>11</v>
      </c>
      <c r="B12">
        <f>'DATA US'!B25</f>
        <v>222310011</v>
      </c>
      <c r="C12" t="str">
        <f>'DATA US'!F25</f>
        <v>BEKASI</v>
      </c>
      <c r="D12" s="37" t="str">
        <f>'DATA US'!G25</f>
        <v>24 Februari 2006</v>
      </c>
      <c r="E12" t="str">
        <f>'DATA US'!C25</f>
        <v>0064029233</v>
      </c>
      <c r="F12" t="str">
        <f>'DATA US'!D25</f>
        <v>INTO</v>
      </c>
      <c r="G12" s="13">
        <v>80</v>
      </c>
      <c r="H12" s="13">
        <v>79</v>
      </c>
      <c r="I12" s="13">
        <v>84</v>
      </c>
      <c r="J12" s="13">
        <v>82</v>
      </c>
      <c r="K12" s="13">
        <v>84</v>
      </c>
      <c r="L12" s="13">
        <v>85</v>
      </c>
      <c r="M12" s="13">
        <v>79</v>
      </c>
      <c r="N12" s="13">
        <v>80</v>
      </c>
      <c r="O12" s="13">
        <v>79</v>
      </c>
      <c r="P12" s="13">
        <v>82</v>
      </c>
      <c r="Q12" s="13">
        <v>82</v>
      </c>
      <c r="R12" s="13">
        <v>84</v>
      </c>
      <c r="S12" s="13">
        <v>83</v>
      </c>
      <c r="T12" s="13">
        <v>81</v>
      </c>
      <c r="U12" s="13">
        <v>83</v>
      </c>
      <c r="V12" s="13">
        <v>83</v>
      </c>
      <c r="W12" s="13">
        <v>83</v>
      </c>
      <c r="X12" s="13">
        <v>85</v>
      </c>
      <c r="Y12" s="13">
        <v>75</v>
      </c>
      <c r="Z12" s="13">
        <v>75</v>
      </c>
      <c r="AA12" s="13">
        <v>78</v>
      </c>
      <c r="AB12" s="13">
        <v>83</v>
      </c>
      <c r="AC12" s="13">
        <v>85</v>
      </c>
      <c r="AD12" s="13">
        <v>87</v>
      </c>
      <c r="AE12" s="13">
        <v>76</v>
      </c>
      <c r="AF12" s="13">
        <v>77</v>
      </c>
      <c r="AG12" s="13">
        <v>80</v>
      </c>
      <c r="AH12" s="13">
        <v>82</v>
      </c>
      <c r="AI12" s="13">
        <v>87</v>
      </c>
      <c r="AJ12" s="13">
        <v>85</v>
      </c>
      <c r="AK12" s="13">
        <v>79</v>
      </c>
      <c r="AL12" s="13">
        <v>77</v>
      </c>
      <c r="AM12" t="s">
        <v>992</v>
      </c>
      <c r="AN12" t="s">
        <v>992</v>
      </c>
      <c r="AO12" t="s">
        <v>992</v>
      </c>
      <c r="AP12" t="s">
        <v>992</v>
      </c>
      <c r="AQ12" s="13">
        <v>81</v>
      </c>
      <c r="AR12" s="13">
        <v>78</v>
      </c>
      <c r="AS12" s="13">
        <v>80</v>
      </c>
      <c r="AT12" s="13">
        <v>82</v>
      </c>
      <c r="AU12" s="13">
        <v>88</v>
      </c>
      <c r="AV12" s="13">
        <v>85</v>
      </c>
      <c r="AW12" s="13">
        <v>77</v>
      </c>
      <c r="AX12" s="13">
        <v>81</v>
      </c>
      <c r="AY12" s="13">
        <v>83</v>
      </c>
      <c r="AZ12" s="13">
        <v>83</v>
      </c>
      <c r="BA12" s="13">
        <v>83</v>
      </c>
      <c r="BB12" s="13">
        <v>83</v>
      </c>
      <c r="BC12" s="13">
        <v>75</v>
      </c>
      <c r="BD12" s="13">
        <v>78</v>
      </c>
      <c r="BE12" s="13">
        <v>75</v>
      </c>
      <c r="BF12" s="13">
        <v>78</v>
      </c>
      <c r="BG12" s="13">
        <v>75</v>
      </c>
      <c r="BH12" s="13">
        <v>75</v>
      </c>
      <c r="BI12" s="13">
        <v>78</v>
      </c>
      <c r="BJ12" s="13">
        <v>79</v>
      </c>
      <c r="BK12" s="13">
        <v>83</v>
      </c>
      <c r="BL12" s="13">
        <v>88</v>
      </c>
      <c r="BM12" s="13">
        <v>85</v>
      </c>
      <c r="BN12" s="13">
        <v>83</v>
      </c>
      <c r="BO12" s="13">
        <v>87</v>
      </c>
      <c r="BP12" s="13">
        <v>88</v>
      </c>
      <c r="BQ12" s="13">
        <v>78</v>
      </c>
      <c r="BR12" s="13">
        <v>84</v>
      </c>
      <c r="BS12">
        <v>86</v>
      </c>
      <c r="BT12">
        <v>88</v>
      </c>
      <c r="BU12" s="13">
        <v>84</v>
      </c>
      <c r="BV12">
        <v>87</v>
      </c>
      <c r="BW12" s="13">
        <v>85</v>
      </c>
      <c r="BX12" s="13">
        <v>85</v>
      </c>
      <c r="BY12" s="13">
        <v>85</v>
      </c>
      <c r="BZ12">
        <v>87</v>
      </c>
      <c r="CA12" s="13">
        <v>80</v>
      </c>
      <c r="CB12" s="13">
        <v>81</v>
      </c>
      <c r="CC12" s="19" t="s">
        <v>1016</v>
      </c>
      <c r="CD12" s="19" t="s">
        <v>1017</v>
      </c>
      <c r="CE12" s="43" t="s">
        <v>1018</v>
      </c>
      <c r="CF12" s="23" t="s">
        <v>996</v>
      </c>
      <c r="CJ12" s="23"/>
      <c r="CK12" s="13">
        <v>89.3333333333333</v>
      </c>
      <c r="CL12" s="13">
        <v>84</v>
      </c>
      <c r="CM12">
        <v>80</v>
      </c>
      <c r="CN12">
        <v>80</v>
      </c>
      <c r="CO12" s="13">
        <v>82</v>
      </c>
      <c r="CP12" s="13">
        <v>89.5277777777778</v>
      </c>
      <c r="CQ12" s="13">
        <f t="shared" si="0"/>
        <v>82.333333333333329</v>
      </c>
      <c r="CR12" s="13">
        <f t="shared" si="1"/>
        <v>81</v>
      </c>
      <c r="CS12" s="13">
        <f t="shared" si="2"/>
        <v>80.5</v>
      </c>
      <c r="CT12" s="13">
        <f t="shared" si="3"/>
        <v>83</v>
      </c>
      <c r="CU12" s="13">
        <f t="shared" si="4"/>
        <v>81.166666666666671</v>
      </c>
      <c r="CV12" s="13">
        <f t="shared" si="5"/>
        <v>79.5</v>
      </c>
      <c r="CW12" s="13">
        <f t="shared" si="6"/>
        <v>83.75</v>
      </c>
      <c r="CX12" s="13">
        <f t="shared" si="7"/>
        <v>80.5</v>
      </c>
      <c r="CY12" s="13">
        <f t="shared" si="8"/>
        <v>83</v>
      </c>
      <c r="CZ12" s="13">
        <f t="shared" si="9"/>
        <v>83</v>
      </c>
      <c r="DA12" s="13">
        <f t="shared" si="10"/>
        <v>79</v>
      </c>
      <c r="DB12" s="13">
        <f t="shared" si="11"/>
        <v>76.5</v>
      </c>
      <c r="DC12" s="13">
        <f t="shared" si="12"/>
        <v>75</v>
      </c>
      <c r="DD12" s="13">
        <f t="shared" si="13"/>
        <v>76.5</v>
      </c>
      <c r="DE12" s="13">
        <f t="shared" si="14"/>
        <v>82</v>
      </c>
      <c r="DF12" s="13">
        <f t="shared" si="15"/>
        <v>85.75</v>
      </c>
      <c r="DG12" s="13">
        <f t="shared" si="16"/>
        <v>84</v>
      </c>
      <c r="DH12" s="13">
        <f t="shared" si="17"/>
        <v>85.5</v>
      </c>
      <c r="DI12" s="13">
        <f t="shared" si="18"/>
        <v>85.5</v>
      </c>
      <c r="DJ12" s="13">
        <f t="shared" si="19"/>
        <v>78</v>
      </c>
      <c r="DK12" s="13">
        <f t="shared" si="20"/>
        <v>81.275000000000006</v>
      </c>
    </row>
    <row r="13" spans="1:115" ht="15.6">
      <c r="A13">
        <v>12</v>
      </c>
      <c r="B13">
        <f>'DATA US'!B26</f>
        <v>222310012</v>
      </c>
      <c r="C13" t="str">
        <f>'DATA US'!F26</f>
        <v>BEKASI</v>
      </c>
      <c r="D13" s="37" t="str">
        <f>'DATA US'!G26</f>
        <v>19 Januari 2007</v>
      </c>
      <c r="E13" t="str">
        <f>'DATA US'!C26</f>
        <v>0075073374</v>
      </c>
      <c r="F13" t="str">
        <f>'DATA US'!D26</f>
        <v>IRPAN MAULANA</v>
      </c>
      <c r="G13" s="13">
        <v>83</v>
      </c>
      <c r="H13" s="13">
        <v>82</v>
      </c>
      <c r="I13" s="13">
        <v>83</v>
      </c>
      <c r="J13" s="13">
        <v>82</v>
      </c>
      <c r="K13" s="13">
        <v>83</v>
      </c>
      <c r="L13" s="13">
        <v>83</v>
      </c>
      <c r="M13" s="13">
        <v>82</v>
      </c>
      <c r="N13" s="13">
        <v>83</v>
      </c>
      <c r="O13" s="13">
        <v>82</v>
      </c>
      <c r="P13" s="13">
        <v>83</v>
      </c>
      <c r="Q13" s="13">
        <v>83</v>
      </c>
      <c r="R13" s="13">
        <v>86</v>
      </c>
      <c r="S13" s="13">
        <v>84</v>
      </c>
      <c r="T13" s="13">
        <v>85</v>
      </c>
      <c r="U13" s="13">
        <v>89</v>
      </c>
      <c r="V13" s="13">
        <v>90</v>
      </c>
      <c r="W13" s="13">
        <v>89</v>
      </c>
      <c r="X13" s="13">
        <v>89</v>
      </c>
      <c r="Y13" s="13">
        <v>75</v>
      </c>
      <c r="Z13" s="13">
        <v>76</v>
      </c>
      <c r="AA13" s="13">
        <v>78</v>
      </c>
      <c r="AB13" s="13">
        <v>81</v>
      </c>
      <c r="AC13" s="13">
        <v>86</v>
      </c>
      <c r="AD13" s="13">
        <v>88</v>
      </c>
      <c r="AE13" s="13">
        <v>76</v>
      </c>
      <c r="AF13" s="13">
        <v>77</v>
      </c>
      <c r="AG13" s="13">
        <v>80</v>
      </c>
      <c r="AH13" s="13">
        <v>82</v>
      </c>
      <c r="AI13" s="13">
        <v>85</v>
      </c>
      <c r="AJ13" s="13">
        <v>85</v>
      </c>
      <c r="AK13" s="13">
        <v>86</v>
      </c>
      <c r="AL13" s="13">
        <v>85</v>
      </c>
      <c r="AM13" t="s">
        <v>992</v>
      </c>
      <c r="AN13" t="s">
        <v>992</v>
      </c>
      <c r="AO13" t="s">
        <v>992</v>
      </c>
      <c r="AP13" t="s">
        <v>992</v>
      </c>
      <c r="AQ13" s="13">
        <v>83</v>
      </c>
      <c r="AR13" s="13">
        <v>79</v>
      </c>
      <c r="AS13" s="13">
        <v>81</v>
      </c>
      <c r="AT13" s="13">
        <v>81</v>
      </c>
      <c r="AU13" s="13">
        <v>88</v>
      </c>
      <c r="AV13" s="13">
        <v>86</v>
      </c>
      <c r="AW13" s="13">
        <v>79</v>
      </c>
      <c r="AX13" s="13">
        <v>83</v>
      </c>
      <c r="AY13" s="13">
        <v>86</v>
      </c>
      <c r="AZ13" s="13">
        <v>84</v>
      </c>
      <c r="BA13" s="13">
        <v>85</v>
      </c>
      <c r="BB13" s="13">
        <v>84</v>
      </c>
      <c r="BC13" s="13">
        <v>84</v>
      </c>
      <c r="BD13" s="13">
        <v>81</v>
      </c>
      <c r="BE13" s="13">
        <v>82</v>
      </c>
      <c r="BF13" s="13">
        <v>84</v>
      </c>
      <c r="BG13" s="13">
        <v>76</v>
      </c>
      <c r="BH13" s="13">
        <v>75</v>
      </c>
      <c r="BI13" s="13">
        <v>79</v>
      </c>
      <c r="BJ13" s="13">
        <v>81</v>
      </c>
      <c r="BK13" s="13">
        <v>83</v>
      </c>
      <c r="BL13" s="13">
        <v>86</v>
      </c>
      <c r="BM13" s="13">
        <v>85</v>
      </c>
      <c r="BN13" s="13">
        <v>86</v>
      </c>
      <c r="BO13" s="13">
        <v>89</v>
      </c>
      <c r="BP13" s="13">
        <v>90</v>
      </c>
      <c r="BQ13" s="13">
        <v>81</v>
      </c>
      <c r="BR13" s="13">
        <v>85</v>
      </c>
      <c r="BS13">
        <v>85</v>
      </c>
      <c r="BT13">
        <v>86</v>
      </c>
      <c r="BU13" s="13">
        <v>81</v>
      </c>
      <c r="BV13" s="13">
        <v>88</v>
      </c>
      <c r="BW13" s="13">
        <v>85</v>
      </c>
      <c r="BX13" s="13">
        <v>86</v>
      </c>
      <c r="BY13" s="13">
        <v>85</v>
      </c>
      <c r="BZ13" s="13">
        <v>88</v>
      </c>
      <c r="CA13" s="13">
        <v>85</v>
      </c>
      <c r="CB13" s="13">
        <v>86</v>
      </c>
      <c r="CC13" s="19" t="s">
        <v>1001</v>
      </c>
      <c r="CD13" s="44" t="s">
        <v>1002</v>
      </c>
      <c r="CE13" s="43" t="s">
        <v>1019</v>
      </c>
      <c r="CF13" s="23" t="s">
        <v>1000</v>
      </c>
      <c r="CJ13" s="23"/>
      <c r="CK13" s="13">
        <v>89.3333333333333</v>
      </c>
      <c r="CL13" s="13">
        <v>84.3333333333333</v>
      </c>
      <c r="CM13">
        <v>83</v>
      </c>
      <c r="CN13">
        <v>86</v>
      </c>
      <c r="CO13" s="13">
        <v>82.25</v>
      </c>
      <c r="CP13" s="13">
        <v>88.7777777777778</v>
      </c>
      <c r="CQ13" s="13">
        <f t="shared" si="0"/>
        <v>82.666666666666671</v>
      </c>
      <c r="CR13" s="13">
        <f t="shared" si="1"/>
        <v>83.166666666666671</v>
      </c>
      <c r="CS13" s="13">
        <f t="shared" si="2"/>
        <v>80.666666666666671</v>
      </c>
      <c r="CT13" s="13">
        <f t="shared" si="3"/>
        <v>87.666666666666671</v>
      </c>
      <c r="CU13" s="13">
        <f t="shared" si="4"/>
        <v>80.833333333333329</v>
      </c>
      <c r="CV13" s="13">
        <f t="shared" si="5"/>
        <v>81</v>
      </c>
      <c r="CW13" s="13">
        <f t="shared" si="6"/>
        <v>84</v>
      </c>
      <c r="CX13" s="13">
        <f t="shared" si="7"/>
        <v>85.5</v>
      </c>
      <c r="CY13" s="13">
        <f t="shared" si="8"/>
        <v>84.5</v>
      </c>
      <c r="CZ13" s="13">
        <f t="shared" si="9"/>
        <v>85</v>
      </c>
      <c r="DA13" s="13">
        <f t="shared" si="10"/>
        <v>81</v>
      </c>
      <c r="DB13" s="13">
        <f t="shared" si="11"/>
        <v>83</v>
      </c>
      <c r="DC13" s="13">
        <f t="shared" si="12"/>
        <v>75.5</v>
      </c>
      <c r="DD13" s="13">
        <f t="shared" si="13"/>
        <v>82.5</v>
      </c>
      <c r="DE13" s="13">
        <f t="shared" si="14"/>
        <v>82.25</v>
      </c>
      <c r="DF13" s="13">
        <f t="shared" si="15"/>
        <v>87.5</v>
      </c>
      <c r="DG13" s="13">
        <f t="shared" si="16"/>
        <v>84.25</v>
      </c>
      <c r="DH13" s="13">
        <f t="shared" si="17"/>
        <v>86</v>
      </c>
      <c r="DI13" s="13">
        <f t="shared" si="18"/>
        <v>84.5</v>
      </c>
      <c r="DJ13" s="13">
        <f t="shared" si="19"/>
        <v>85.5</v>
      </c>
      <c r="DK13" s="13">
        <f t="shared" si="20"/>
        <v>83.35</v>
      </c>
    </row>
    <row r="14" spans="1:115">
      <c r="A14">
        <v>13</v>
      </c>
      <c r="B14">
        <f>'DATA US'!B27</f>
        <v>222310013</v>
      </c>
      <c r="C14" t="str">
        <f>'DATA US'!F27</f>
        <v>BANDUNG</v>
      </c>
      <c r="D14" s="37" t="str">
        <f>'DATA US'!G27</f>
        <v>23 Juni 2006</v>
      </c>
      <c r="E14" t="str">
        <f>'DATA US'!C27</f>
        <v>0066462669</v>
      </c>
      <c r="F14" t="str">
        <f>'DATA US'!D27</f>
        <v>JULIUS MANGI ULY</v>
      </c>
      <c r="G14" s="13">
        <v>82</v>
      </c>
      <c r="H14" s="13">
        <v>79</v>
      </c>
      <c r="I14" s="13">
        <v>85</v>
      </c>
      <c r="J14" s="13">
        <v>84</v>
      </c>
      <c r="K14" s="13">
        <v>85</v>
      </c>
      <c r="L14" s="13">
        <v>86</v>
      </c>
      <c r="M14" s="13">
        <v>85</v>
      </c>
      <c r="N14" s="13">
        <v>87</v>
      </c>
      <c r="O14" s="13">
        <v>86</v>
      </c>
      <c r="P14" s="13">
        <v>86</v>
      </c>
      <c r="Q14" s="13">
        <v>85</v>
      </c>
      <c r="R14" s="13">
        <v>88</v>
      </c>
      <c r="S14" s="13">
        <v>79</v>
      </c>
      <c r="T14" s="13">
        <v>84</v>
      </c>
      <c r="U14" s="13">
        <v>90</v>
      </c>
      <c r="V14" s="13">
        <v>90</v>
      </c>
      <c r="W14" s="13">
        <v>90</v>
      </c>
      <c r="X14" s="13">
        <v>90</v>
      </c>
      <c r="Y14" s="13">
        <v>76</v>
      </c>
      <c r="Z14" s="13">
        <v>82</v>
      </c>
      <c r="AA14" s="13">
        <v>84</v>
      </c>
      <c r="AB14" s="13">
        <v>85</v>
      </c>
      <c r="AC14" s="13">
        <v>85</v>
      </c>
      <c r="AD14" s="13">
        <v>88</v>
      </c>
      <c r="AE14" s="13">
        <v>81</v>
      </c>
      <c r="AF14" s="13">
        <v>79</v>
      </c>
      <c r="AG14" s="13">
        <v>85</v>
      </c>
      <c r="AH14" s="13">
        <v>87</v>
      </c>
      <c r="AI14" s="13">
        <v>91</v>
      </c>
      <c r="AJ14" s="13">
        <v>90</v>
      </c>
      <c r="AK14" s="13">
        <v>87</v>
      </c>
      <c r="AL14" s="13">
        <v>87</v>
      </c>
      <c r="AM14" t="s">
        <v>992</v>
      </c>
      <c r="AN14" t="s">
        <v>992</v>
      </c>
      <c r="AO14" t="s">
        <v>992</v>
      </c>
      <c r="AP14" t="s">
        <v>992</v>
      </c>
      <c r="AQ14" s="13">
        <v>83</v>
      </c>
      <c r="AR14" s="13">
        <v>81</v>
      </c>
      <c r="AS14" s="13">
        <v>81</v>
      </c>
      <c r="AT14" s="13">
        <v>81</v>
      </c>
      <c r="AU14" s="13">
        <v>89</v>
      </c>
      <c r="AV14" s="13">
        <v>86</v>
      </c>
      <c r="AW14" s="13">
        <v>78</v>
      </c>
      <c r="AX14" s="13">
        <v>87</v>
      </c>
      <c r="AY14" s="13">
        <v>86</v>
      </c>
      <c r="AZ14" s="13">
        <v>86</v>
      </c>
      <c r="BA14" s="13">
        <v>83</v>
      </c>
      <c r="BB14" s="13">
        <v>84</v>
      </c>
      <c r="BC14" s="13">
        <v>87</v>
      </c>
      <c r="BD14" s="13">
        <v>89</v>
      </c>
      <c r="BE14" s="13">
        <v>85</v>
      </c>
      <c r="BF14" s="13">
        <v>90</v>
      </c>
      <c r="BG14" s="13">
        <v>75</v>
      </c>
      <c r="BH14" s="13">
        <v>77</v>
      </c>
      <c r="BI14" s="13">
        <v>85</v>
      </c>
      <c r="BJ14" s="13">
        <v>86</v>
      </c>
      <c r="BK14" s="13">
        <v>84</v>
      </c>
      <c r="BL14" s="13">
        <v>86</v>
      </c>
      <c r="BM14" s="13">
        <v>87</v>
      </c>
      <c r="BN14" s="13">
        <v>85</v>
      </c>
      <c r="BO14" s="13">
        <v>87</v>
      </c>
      <c r="BP14" s="13">
        <v>88</v>
      </c>
      <c r="BQ14" s="13">
        <v>88</v>
      </c>
      <c r="BR14" s="13">
        <v>84</v>
      </c>
      <c r="BS14">
        <v>85</v>
      </c>
      <c r="BT14">
        <v>85</v>
      </c>
      <c r="BU14" s="13">
        <v>86</v>
      </c>
      <c r="BV14" s="13">
        <v>88</v>
      </c>
      <c r="BW14" s="13">
        <v>87</v>
      </c>
      <c r="BX14" s="13">
        <v>88</v>
      </c>
      <c r="BY14" s="13">
        <v>85</v>
      </c>
      <c r="BZ14" s="13">
        <v>88</v>
      </c>
      <c r="CA14" s="13">
        <v>85</v>
      </c>
      <c r="CB14" s="13">
        <v>89</v>
      </c>
      <c r="CC14" s="19" t="s">
        <v>993</v>
      </c>
      <c r="CD14" s="19" t="s">
        <v>994</v>
      </c>
      <c r="CE14" s="43" t="s">
        <v>1020</v>
      </c>
      <c r="CF14" s="23" t="s">
        <v>996</v>
      </c>
      <c r="CJ14" s="23"/>
      <c r="CK14" s="13">
        <v>89</v>
      </c>
      <c r="CL14" s="13">
        <v>83.6666666666667</v>
      </c>
      <c r="CM14">
        <v>80</v>
      </c>
      <c r="CN14">
        <v>85</v>
      </c>
      <c r="CO14" s="13">
        <v>83</v>
      </c>
      <c r="CP14" s="13">
        <v>90</v>
      </c>
      <c r="CQ14" s="13">
        <f t="shared" si="0"/>
        <v>83.5</v>
      </c>
      <c r="CR14" s="13">
        <f t="shared" si="1"/>
        <v>86.166666666666671</v>
      </c>
      <c r="CS14" s="13">
        <f t="shared" si="2"/>
        <v>83.333333333333329</v>
      </c>
      <c r="CT14" s="13">
        <f t="shared" si="3"/>
        <v>87.166666666666671</v>
      </c>
      <c r="CU14" s="13">
        <f t="shared" si="4"/>
        <v>85.5</v>
      </c>
      <c r="CV14" s="13">
        <f t="shared" si="5"/>
        <v>82</v>
      </c>
      <c r="CW14" s="13">
        <f t="shared" si="6"/>
        <v>84.25</v>
      </c>
      <c r="CX14" s="13">
        <f t="shared" si="7"/>
        <v>87</v>
      </c>
      <c r="CY14" s="13">
        <f t="shared" si="8"/>
        <v>83.5</v>
      </c>
      <c r="CZ14" s="13">
        <f t="shared" si="9"/>
        <v>86</v>
      </c>
      <c r="DA14" s="13">
        <f t="shared" si="10"/>
        <v>82.5</v>
      </c>
      <c r="DB14" s="13">
        <f t="shared" si="11"/>
        <v>87.5</v>
      </c>
      <c r="DC14" s="13">
        <f t="shared" si="12"/>
        <v>76</v>
      </c>
      <c r="DD14" s="13">
        <f t="shared" si="13"/>
        <v>88</v>
      </c>
      <c r="DE14" s="13">
        <f t="shared" si="14"/>
        <v>85.25</v>
      </c>
      <c r="DF14" s="13">
        <f t="shared" si="15"/>
        <v>86.75</v>
      </c>
      <c r="DG14" s="13">
        <f t="shared" si="16"/>
        <v>85.5</v>
      </c>
      <c r="DH14" s="13">
        <f t="shared" si="17"/>
        <v>87</v>
      </c>
      <c r="DI14" s="13">
        <f t="shared" si="18"/>
        <v>87</v>
      </c>
      <c r="DJ14" s="13">
        <f t="shared" si="19"/>
        <v>87</v>
      </c>
      <c r="DK14" s="13">
        <f t="shared" si="20"/>
        <v>85.045833333333334</v>
      </c>
    </row>
    <row r="15" spans="1:115">
      <c r="A15">
        <v>14</v>
      </c>
      <c r="B15">
        <f>'DATA US'!B28</f>
        <v>222310014</v>
      </c>
      <c r="C15" t="str">
        <f>'DATA US'!F28</f>
        <v>BEKASI</v>
      </c>
      <c r="D15" s="37" t="str">
        <f>'DATA US'!G28</f>
        <v>10 April 2007</v>
      </c>
      <c r="E15" t="str">
        <f>'DATA US'!C28</f>
        <v>0072204586</v>
      </c>
      <c r="F15" t="str">
        <f>'DATA US'!D28</f>
        <v>M.RHAFLY RAHMAN</v>
      </c>
      <c r="G15" s="13">
        <v>85</v>
      </c>
      <c r="H15" s="13">
        <v>83</v>
      </c>
      <c r="I15" s="13">
        <v>85</v>
      </c>
      <c r="J15" s="13">
        <v>84</v>
      </c>
      <c r="K15" s="13">
        <v>84</v>
      </c>
      <c r="L15" s="13">
        <v>85</v>
      </c>
      <c r="M15" s="13">
        <v>86</v>
      </c>
      <c r="N15" s="13">
        <v>85</v>
      </c>
      <c r="O15" s="13">
        <v>84</v>
      </c>
      <c r="P15" s="13">
        <v>84</v>
      </c>
      <c r="Q15" s="13">
        <v>85</v>
      </c>
      <c r="R15" s="13">
        <v>87</v>
      </c>
      <c r="S15" s="13">
        <v>84</v>
      </c>
      <c r="T15" s="13">
        <v>84</v>
      </c>
      <c r="U15" s="13">
        <v>89</v>
      </c>
      <c r="V15" s="13">
        <v>89</v>
      </c>
      <c r="W15" s="13">
        <v>89</v>
      </c>
      <c r="X15" s="13">
        <v>90</v>
      </c>
      <c r="Y15" s="13">
        <v>76</v>
      </c>
      <c r="Z15" s="13">
        <v>80</v>
      </c>
      <c r="AA15" s="13">
        <v>82</v>
      </c>
      <c r="AB15" s="13">
        <v>83</v>
      </c>
      <c r="AC15" s="13">
        <v>87</v>
      </c>
      <c r="AD15" s="13">
        <v>87</v>
      </c>
      <c r="AE15" s="13">
        <v>82</v>
      </c>
      <c r="AF15" s="13">
        <v>79</v>
      </c>
      <c r="AG15" s="13">
        <v>83</v>
      </c>
      <c r="AH15" s="13">
        <v>81</v>
      </c>
      <c r="AI15" s="13">
        <v>83</v>
      </c>
      <c r="AJ15" s="13">
        <v>85</v>
      </c>
      <c r="AK15" s="13">
        <v>87</v>
      </c>
      <c r="AL15" s="13">
        <v>87</v>
      </c>
      <c r="AM15" t="s">
        <v>992</v>
      </c>
      <c r="AN15" t="s">
        <v>992</v>
      </c>
      <c r="AO15" t="s">
        <v>992</v>
      </c>
      <c r="AP15" t="s">
        <v>992</v>
      </c>
      <c r="AQ15" s="13">
        <v>86</v>
      </c>
      <c r="AR15" s="13">
        <v>83</v>
      </c>
      <c r="AS15" s="13">
        <v>80</v>
      </c>
      <c r="AT15" s="13">
        <v>81</v>
      </c>
      <c r="AU15" s="13">
        <v>82</v>
      </c>
      <c r="AV15" s="13">
        <v>83</v>
      </c>
      <c r="AW15" s="13">
        <v>78</v>
      </c>
      <c r="AX15" s="13">
        <v>86</v>
      </c>
      <c r="AY15" s="13">
        <v>85</v>
      </c>
      <c r="AZ15" s="13">
        <v>84</v>
      </c>
      <c r="BA15" s="13">
        <v>82</v>
      </c>
      <c r="BB15" s="13">
        <v>83</v>
      </c>
      <c r="BC15" s="13">
        <v>86</v>
      </c>
      <c r="BD15" s="13">
        <v>88</v>
      </c>
      <c r="BE15" s="13">
        <v>88</v>
      </c>
      <c r="BF15" s="13">
        <v>89</v>
      </c>
      <c r="BG15" s="13">
        <v>75</v>
      </c>
      <c r="BH15" s="13">
        <v>80</v>
      </c>
      <c r="BI15" s="13">
        <v>85</v>
      </c>
      <c r="BJ15" s="13">
        <v>87</v>
      </c>
      <c r="BK15" s="13">
        <v>84</v>
      </c>
      <c r="BL15" s="13">
        <v>88</v>
      </c>
      <c r="BM15" s="13">
        <v>87</v>
      </c>
      <c r="BN15" s="13">
        <v>86</v>
      </c>
      <c r="BO15" s="13">
        <v>85</v>
      </c>
      <c r="BP15">
        <v>86</v>
      </c>
      <c r="BQ15" s="13">
        <v>86</v>
      </c>
      <c r="BR15" s="13">
        <v>86</v>
      </c>
      <c r="BS15">
        <v>86</v>
      </c>
      <c r="BT15">
        <v>85</v>
      </c>
      <c r="BU15" s="13">
        <v>83</v>
      </c>
      <c r="BV15" s="13">
        <v>90</v>
      </c>
      <c r="BW15" s="13">
        <v>87</v>
      </c>
      <c r="BX15" s="13">
        <v>87</v>
      </c>
      <c r="BY15" s="13">
        <v>81</v>
      </c>
      <c r="BZ15" s="13">
        <v>90</v>
      </c>
      <c r="CA15" s="13">
        <v>85</v>
      </c>
      <c r="CB15" s="13">
        <v>86</v>
      </c>
      <c r="CC15" s="19" t="s">
        <v>1021</v>
      </c>
      <c r="CD15" s="19" t="s">
        <v>998</v>
      </c>
      <c r="CE15" s="43" t="s">
        <v>1022</v>
      </c>
      <c r="CF15" s="23" t="s">
        <v>996</v>
      </c>
      <c r="CJ15" s="23"/>
      <c r="CK15" s="13">
        <v>91.6666666666667</v>
      </c>
      <c r="CL15" s="13">
        <v>85</v>
      </c>
      <c r="CM15">
        <v>87</v>
      </c>
      <c r="CN15">
        <v>87</v>
      </c>
      <c r="CO15" s="13">
        <v>83</v>
      </c>
      <c r="CP15" s="13">
        <v>88.1944444444445</v>
      </c>
      <c r="CQ15" s="13">
        <f t="shared" si="0"/>
        <v>84.333333333333329</v>
      </c>
      <c r="CR15" s="13">
        <f t="shared" si="1"/>
        <v>85.166666666666671</v>
      </c>
      <c r="CS15" s="13">
        <f t="shared" si="2"/>
        <v>82.5</v>
      </c>
      <c r="CT15" s="13">
        <f t="shared" si="3"/>
        <v>87.5</v>
      </c>
      <c r="CU15" s="13">
        <f t="shared" si="4"/>
        <v>82.166666666666671</v>
      </c>
      <c r="CV15" s="13">
        <f t="shared" si="5"/>
        <v>84.5</v>
      </c>
      <c r="CW15" s="13">
        <f t="shared" si="6"/>
        <v>81.5</v>
      </c>
      <c r="CX15" s="13">
        <f t="shared" si="7"/>
        <v>85.5</v>
      </c>
      <c r="CY15" s="13">
        <f t="shared" si="8"/>
        <v>82.5</v>
      </c>
      <c r="CZ15" s="13">
        <f t="shared" si="9"/>
        <v>84.5</v>
      </c>
      <c r="DA15" s="13">
        <f t="shared" si="10"/>
        <v>82</v>
      </c>
      <c r="DB15" s="13">
        <f t="shared" si="11"/>
        <v>88.5</v>
      </c>
      <c r="DC15" s="13">
        <f t="shared" si="12"/>
        <v>77.5</v>
      </c>
      <c r="DD15" s="13">
        <f t="shared" si="13"/>
        <v>87</v>
      </c>
      <c r="DE15" s="13">
        <f t="shared" si="14"/>
        <v>86</v>
      </c>
      <c r="DF15" s="13">
        <f t="shared" si="15"/>
        <v>86</v>
      </c>
      <c r="DG15" s="13">
        <f t="shared" si="16"/>
        <v>85.75</v>
      </c>
      <c r="DH15" s="13">
        <f t="shared" si="17"/>
        <v>86.25</v>
      </c>
      <c r="DI15" s="13">
        <f t="shared" si="18"/>
        <v>86.5</v>
      </c>
      <c r="DJ15" s="13">
        <f t="shared" si="19"/>
        <v>87</v>
      </c>
      <c r="DK15" s="13">
        <f t="shared" si="20"/>
        <v>84.63333333333334</v>
      </c>
    </row>
    <row r="16" spans="1:115">
      <c r="A16">
        <v>15</v>
      </c>
      <c r="B16">
        <f>'DATA US'!B29</f>
        <v>222310141</v>
      </c>
      <c r="C16" t="str">
        <f>'DATA US'!F29</f>
        <v>BEKASI</v>
      </c>
      <c r="D16" s="37" t="str">
        <f>'DATA US'!G29</f>
        <v>21 Mei 2007</v>
      </c>
      <c r="E16" t="str">
        <f>'DATA US'!C29</f>
        <v>0071036654</v>
      </c>
      <c r="F16" t="str">
        <f>'DATA US'!D29</f>
        <v>MARJAYA</v>
      </c>
      <c r="G16">
        <v>78</v>
      </c>
      <c r="H16">
        <v>75</v>
      </c>
      <c r="I16" s="13">
        <v>79</v>
      </c>
      <c r="J16" s="13">
        <v>81</v>
      </c>
      <c r="K16" s="13">
        <v>82</v>
      </c>
      <c r="L16" s="13">
        <v>83</v>
      </c>
      <c r="M16">
        <v>79</v>
      </c>
      <c r="N16">
        <v>75</v>
      </c>
      <c r="O16" s="13">
        <v>78</v>
      </c>
      <c r="P16" s="13">
        <v>83</v>
      </c>
      <c r="Q16" s="13">
        <v>82</v>
      </c>
      <c r="R16" s="13">
        <v>83</v>
      </c>
      <c r="S16">
        <v>77</v>
      </c>
      <c r="T16">
        <v>76</v>
      </c>
      <c r="U16" s="13">
        <v>78</v>
      </c>
      <c r="V16" s="13">
        <v>80</v>
      </c>
      <c r="W16" s="13">
        <v>80</v>
      </c>
      <c r="X16" s="13">
        <v>83</v>
      </c>
      <c r="Y16">
        <v>75</v>
      </c>
      <c r="Z16">
        <v>75</v>
      </c>
      <c r="AA16" s="13">
        <v>78</v>
      </c>
      <c r="AB16" s="13">
        <v>79</v>
      </c>
      <c r="AC16" s="13">
        <v>81</v>
      </c>
      <c r="AD16" s="13">
        <v>85</v>
      </c>
      <c r="AE16">
        <v>88</v>
      </c>
      <c r="AF16">
        <v>75</v>
      </c>
      <c r="AG16" s="13">
        <v>79</v>
      </c>
      <c r="AH16" s="13">
        <v>82</v>
      </c>
      <c r="AI16" s="13">
        <v>81</v>
      </c>
      <c r="AJ16" s="13">
        <v>85</v>
      </c>
      <c r="AK16">
        <v>75</v>
      </c>
      <c r="AL16">
        <v>75</v>
      </c>
      <c r="AM16" t="s">
        <v>992</v>
      </c>
      <c r="AN16" t="s">
        <v>992</v>
      </c>
      <c r="AO16" t="s">
        <v>992</v>
      </c>
      <c r="AP16" t="s">
        <v>992</v>
      </c>
      <c r="AQ16">
        <v>79</v>
      </c>
      <c r="AR16">
        <v>77</v>
      </c>
      <c r="AS16">
        <v>85</v>
      </c>
      <c r="AT16">
        <v>80</v>
      </c>
      <c r="AU16" s="13">
        <v>84</v>
      </c>
      <c r="AV16" s="13">
        <v>82</v>
      </c>
      <c r="AW16">
        <v>86</v>
      </c>
      <c r="AX16">
        <v>75</v>
      </c>
      <c r="AY16">
        <v>77</v>
      </c>
      <c r="AZ16">
        <v>77</v>
      </c>
      <c r="BA16">
        <v>77</v>
      </c>
      <c r="BB16">
        <v>77</v>
      </c>
      <c r="BC16">
        <v>75</v>
      </c>
      <c r="BD16">
        <v>75</v>
      </c>
      <c r="BE16">
        <v>75</v>
      </c>
      <c r="BF16">
        <v>75</v>
      </c>
      <c r="BG16">
        <v>75</v>
      </c>
      <c r="BH16">
        <v>75</v>
      </c>
      <c r="BI16" s="13">
        <v>78</v>
      </c>
      <c r="BJ16" s="13">
        <v>79</v>
      </c>
      <c r="BK16" s="13">
        <v>83</v>
      </c>
      <c r="BL16" s="13">
        <v>88</v>
      </c>
      <c r="BM16" s="13">
        <v>78</v>
      </c>
      <c r="BN16" s="13">
        <v>79</v>
      </c>
      <c r="BO16" s="13">
        <v>85</v>
      </c>
      <c r="BP16">
        <v>86</v>
      </c>
      <c r="BQ16" s="13">
        <v>78</v>
      </c>
      <c r="BR16" s="13">
        <v>80</v>
      </c>
      <c r="BS16">
        <v>81</v>
      </c>
      <c r="BT16">
        <v>86</v>
      </c>
      <c r="BU16" s="13">
        <v>80</v>
      </c>
      <c r="BV16" s="13">
        <v>85</v>
      </c>
      <c r="BW16" s="13">
        <v>82</v>
      </c>
      <c r="BX16" s="13">
        <v>83</v>
      </c>
      <c r="BY16" s="13">
        <v>81</v>
      </c>
      <c r="BZ16" s="13">
        <v>85</v>
      </c>
      <c r="CA16">
        <v>75</v>
      </c>
      <c r="CB16">
        <v>75</v>
      </c>
      <c r="CC16" s="19" t="s">
        <v>1023</v>
      </c>
      <c r="CD16" s="19" t="s">
        <v>1024</v>
      </c>
      <c r="CE16" s="43" t="s">
        <v>1025</v>
      </c>
      <c r="CF16" s="24" t="s">
        <v>996</v>
      </c>
      <c r="CJ16" s="24"/>
      <c r="CK16" s="13">
        <v>90.6666666666667</v>
      </c>
      <c r="CL16" s="13">
        <v>83.6666666666667</v>
      </c>
      <c r="CM16">
        <v>82</v>
      </c>
      <c r="CN16">
        <v>80</v>
      </c>
      <c r="CO16" s="13">
        <v>80.5</v>
      </c>
      <c r="CP16" s="13">
        <v>84.0555555555555</v>
      </c>
      <c r="CQ16" s="13">
        <f t="shared" si="0"/>
        <v>79.666666666666671</v>
      </c>
      <c r="CR16" s="13">
        <f t="shared" si="1"/>
        <v>80</v>
      </c>
      <c r="CS16" s="13">
        <f t="shared" si="2"/>
        <v>78.833333333333329</v>
      </c>
      <c r="CT16" s="13">
        <f t="shared" si="3"/>
        <v>79</v>
      </c>
      <c r="CU16" s="13">
        <f t="shared" si="4"/>
        <v>81.666666666666671</v>
      </c>
      <c r="CV16" s="13">
        <f t="shared" si="5"/>
        <v>78</v>
      </c>
      <c r="CW16" s="13">
        <f t="shared" si="6"/>
        <v>82.75</v>
      </c>
      <c r="CX16" s="13">
        <f t="shared" si="7"/>
        <v>75</v>
      </c>
      <c r="CY16" s="13">
        <f t="shared" si="8"/>
        <v>77</v>
      </c>
      <c r="CZ16" s="13">
        <f t="shared" si="9"/>
        <v>77</v>
      </c>
      <c r="DA16" s="13">
        <f t="shared" si="10"/>
        <v>80.5</v>
      </c>
      <c r="DB16" s="13">
        <f t="shared" si="11"/>
        <v>75</v>
      </c>
      <c r="DC16" s="13">
        <f t="shared" si="12"/>
        <v>75</v>
      </c>
      <c r="DD16" s="13">
        <f t="shared" si="13"/>
        <v>75</v>
      </c>
      <c r="DE16" s="13">
        <f t="shared" si="14"/>
        <v>82</v>
      </c>
      <c r="DF16" s="13">
        <f t="shared" si="15"/>
        <v>82</v>
      </c>
      <c r="DG16" s="13">
        <f t="shared" si="16"/>
        <v>81.25</v>
      </c>
      <c r="DH16" s="13">
        <f t="shared" si="17"/>
        <v>82.75</v>
      </c>
      <c r="DI16" s="13">
        <f t="shared" si="18"/>
        <v>82.5</v>
      </c>
      <c r="DJ16" s="13">
        <f t="shared" si="19"/>
        <v>75</v>
      </c>
      <c r="DK16" s="13">
        <f t="shared" si="20"/>
        <v>78.995833333333337</v>
      </c>
    </row>
    <row r="17" spans="1:115" ht="15.6">
      <c r="A17">
        <v>16</v>
      </c>
      <c r="B17">
        <f>'DATA US'!B30</f>
        <v>222310015</v>
      </c>
      <c r="C17" t="str">
        <f>'DATA US'!F30</f>
        <v>BEKASI</v>
      </c>
      <c r="D17" s="37" t="str">
        <f>'DATA US'!G30</f>
        <v>25 April 2006</v>
      </c>
      <c r="E17" t="str">
        <f>'DATA US'!C30</f>
        <v>0064639984</v>
      </c>
      <c r="F17" t="str">
        <f>'DATA US'!D30</f>
        <v>MARSANDA</v>
      </c>
      <c r="G17" s="13">
        <v>80</v>
      </c>
      <c r="H17" s="13">
        <v>78</v>
      </c>
      <c r="I17" s="13">
        <v>79</v>
      </c>
      <c r="J17" s="13">
        <v>80</v>
      </c>
      <c r="K17" s="13">
        <v>82</v>
      </c>
      <c r="L17" s="13">
        <v>83</v>
      </c>
      <c r="M17" s="13">
        <v>82</v>
      </c>
      <c r="N17" s="13">
        <v>80</v>
      </c>
      <c r="O17" s="13">
        <v>78</v>
      </c>
      <c r="P17" s="13">
        <v>83</v>
      </c>
      <c r="Q17" s="13">
        <v>81</v>
      </c>
      <c r="R17" s="13">
        <v>82</v>
      </c>
      <c r="S17" s="13">
        <v>82</v>
      </c>
      <c r="T17" s="13">
        <v>80</v>
      </c>
      <c r="U17" s="13">
        <v>78</v>
      </c>
      <c r="V17" s="13">
        <v>80</v>
      </c>
      <c r="W17" s="13">
        <v>80</v>
      </c>
      <c r="X17" s="13">
        <v>83</v>
      </c>
      <c r="Y17" s="13">
        <v>75</v>
      </c>
      <c r="Z17" s="13">
        <v>76</v>
      </c>
      <c r="AA17" s="13">
        <v>78</v>
      </c>
      <c r="AB17" s="13">
        <v>79</v>
      </c>
      <c r="AC17" s="13">
        <v>81</v>
      </c>
      <c r="AD17" s="13">
        <v>83</v>
      </c>
      <c r="AE17" s="13">
        <v>78</v>
      </c>
      <c r="AF17" s="13">
        <v>76</v>
      </c>
      <c r="AG17" s="13">
        <v>79</v>
      </c>
      <c r="AH17" s="13">
        <v>82</v>
      </c>
      <c r="AI17" s="13">
        <v>82</v>
      </c>
      <c r="AJ17" s="13">
        <v>80</v>
      </c>
      <c r="AK17" s="13">
        <v>78</v>
      </c>
      <c r="AL17" s="13">
        <v>75</v>
      </c>
      <c r="AM17" t="s">
        <v>992</v>
      </c>
      <c r="AN17" t="s">
        <v>992</v>
      </c>
      <c r="AO17" t="s">
        <v>992</v>
      </c>
      <c r="AP17" t="s">
        <v>992</v>
      </c>
      <c r="AQ17" s="13">
        <v>83</v>
      </c>
      <c r="AR17" s="13">
        <v>79</v>
      </c>
      <c r="AS17" s="13">
        <v>80</v>
      </c>
      <c r="AT17" s="13">
        <v>83</v>
      </c>
      <c r="AU17" s="13">
        <v>89</v>
      </c>
      <c r="AV17" s="13">
        <v>84</v>
      </c>
      <c r="AW17" s="13">
        <v>76</v>
      </c>
      <c r="AX17" s="13">
        <v>81</v>
      </c>
      <c r="AY17" s="13">
        <v>82</v>
      </c>
      <c r="AZ17" s="13">
        <v>82</v>
      </c>
      <c r="BA17" s="13">
        <v>82</v>
      </c>
      <c r="BB17" s="13">
        <v>82</v>
      </c>
      <c r="BC17" s="13">
        <v>75</v>
      </c>
      <c r="BD17" s="13">
        <v>77</v>
      </c>
      <c r="BE17" s="13">
        <v>75</v>
      </c>
      <c r="BF17" s="13">
        <v>82</v>
      </c>
      <c r="BG17" s="13">
        <v>76</v>
      </c>
      <c r="BH17" s="13">
        <v>77</v>
      </c>
      <c r="BI17" s="13">
        <v>78</v>
      </c>
      <c r="BJ17" s="13">
        <v>78</v>
      </c>
      <c r="BK17" s="13">
        <v>83</v>
      </c>
      <c r="BL17" s="13">
        <v>81</v>
      </c>
      <c r="BM17" s="13">
        <v>78</v>
      </c>
      <c r="BN17" s="13">
        <v>79</v>
      </c>
      <c r="BO17" s="13">
        <v>82</v>
      </c>
      <c r="BP17" s="13">
        <v>83</v>
      </c>
      <c r="BQ17" s="13">
        <v>78</v>
      </c>
      <c r="BR17" s="13">
        <v>80</v>
      </c>
      <c r="BS17">
        <v>81</v>
      </c>
      <c r="BT17">
        <v>82</v>
      </c>
      <c r="BU17" s="13">
        <v>81</v>
      </c>
      <c r="BV17" s="13">
        <v>85</v>
      </c>
      <c r="BW17" s="13">
        <v>82</v>
      </c>
      <c r="BX17" s="13">
        <v>83</v>
      </c>
      <c r="BY17" s="13">
        <v>81</v>
      </c>
      <c r="BZ17" s="13">
        <v>85</v>
      </c>
      <c r="CA17" s="13">
        <v>80</v>
      </c>
      <c r="CB17" s="13">
        <v>82</v>
      </c>
      <c r="CC17" s="19" t="s">
        <v>993</v>
      </c>
      <c r="CD17" s="44" t="s">
        <v>994</v>
      </c>
      <c r="CE17" s="43" t="s">
        <v>1026</v>
      </c>
      <c r="CF17" s="24" t="s">
        <v>996</v>
      </c>
      <c r="CJ17" s="24"/>
      <c r="CK17" s="13">
        <v>88.3333333333333</v>
      </c>
      <c r="CL17" s="13">
        <v>82.3333333333333</v>
      </c>
      <c r="CM17">
        <v>80</v>
      </c>
      <c r="CN17">
        <v>88</v>
      </c>
      <c r="CO17" s="13">
        <v>80.5</v>
      </c>
      <c r="CP17" s="13">
        <v>86</v>
      </c>
      <c r="CQ17" s="13">
        <f t="shared" si="0"/>
        <v>80.333333333333329</v>
      </c>
      <c r="CR17" s="13">
        <f t="shared" si="1"/>
        <v>81</v>
      </c>
      <c r="CS17" s="13">
        <f t="shared" si="2"/>
        <v>78.666666666666671</v>
      </c>
      <c r="CT17" s="13">
        <f t="shared" si="3"/>
        <v>80.5</v>
      </c>
      <c r="CU17" s="13">
        <f t="shared" si="4"/>
        <v>79.5</v>
      </c>
      <c r="CV17" s="13">
        <f t="shared" si="5"/>
        <v>81</v>
      </c>
      <c r="CW17" s="13">
        <f t="shared" si="6"/>
        <v>84</v>
      </c>
      <c r="CX17" s="13">
        <f t="shared" si="7"/>
        <v>81</v>
      </c>
      <c r="CY17" s="13">
        <f t="shared" si="8"/>
        <v>82</v>
      </c>
      <c r="CZ17" s="13">
        <f t="shared" si="9"/>
        <v>82</v>
      </c>
      <c r="DA17" s="13">
        <f t="shared" si="10"/>
        <v>78.5</v>
      </c>
      <c r="DB17" s="13">
        <f t="shared" si="11"/>
        <v>78.5</v>
      </c>
      <c r="DC17" s="13">
        <f t="shared" si="12"/>
        <v>76.5</v>
      </c>
      <c r="DD17" s="13">
        <f t="shared" si="13"/>
        <v>76</v>
      </c>
      <c r="DE17" s="13">
        <f t="shared" si="14"/>
        <v>80</v>
      </c>
      <c r="DF17" s="13">
        <f t="shared" si="15"/>
        <v>80.5</v>
      </c>
      <c r="DG17" s="13">
        <f t="shared" si="16"/>
        <v>80.25</v>
      </c>
      <c r="DH17" s="13">
        <f t="shared" si="17"/>
        <v>82.75</v>
      </c>
      <c r="DI17" s="13">
        <f t="shared" si="18"/>
        <v>83</v>
      </c>
      <c r="DJ17" s="13">
        <f t="shared" si="19"/>
        <v>76.5</v>
      </c>
      <c r="DK17" s="13">
        <f t="shared" si="20"/>
        <v>80.125</v>
      </c>
    </row>
    <row r="18" spans="1:115">
      <c r="A18">
        <v>17</v>
      </c>
      <c r="B18">
        <f>'DATA US'!B31</f>
        <v>222310016</v>
      </c>
      <c r="C18" t="str">
        <f>'DATA US'!F31</f>
        <v>TASIK MALAYA</v>
      </c>
      <c r="D18" s="37" t="str">
        <f>'DATA US'!G31</f>
        <v>5 September 2006</v>
      </c>
      <c r="E18" t="str">
        <f>'DATA US'!C31</f>
        <v>0064164564</v>
      </c>
      <c r="F18" t="str">
        <f>'DATA US'!D31</f>
        <v>MUHAMAD FADILAH</v>
      </c>
      <c r="G18" s="13">
        <v>82</v>
      </c>
      <c r="H18" s="13">
        <v>80</v>
      </c>
      <c r="I18" s="13">
        <v>79</v>
      </c>
      <c r="J18" s="13">
        <v>84</v>
      </c>
      <c r="K18" s="13">
        <v>83</v>
      </c>
      <c r="L18" s="13">
        <v>84</v>
      </c>
      <c r="M18" s="13">
        <v>80</v>
      </c>
      <c r="N18" s="13">
        <v>80</v>
      </c>
      <c r="O18" s="13">
        <v>79</v>
      </c>
      <c r="P18" s="13">
        <v>84</v>
      </c>
      <c r="Q18" s="13">
        <v>82</v>
      </c>
      <c r="R18" s="13">
        <v>83</v>
      </c>
      <c r="S18" s="13">
        <v>80</v>
      </c>
      <c r="T18" s="13">
        <v>79</v>
      </c>
      <c r="U18" s="13">
        <v>78</v>
      </c>
      <c r="V18" s="13">
        <v>80</v>
      </c>
      <c r="W18" s="13">
        <v>80</v>
      </c>
      <c r="X18" s="13">
        <v>83</v>
      </c>
      <c r="Y18" s="13">
        <v>75</v>
      </c>
      <c r="Z18" s="13">
        <v>78</v>
      </c>
      <c r="AA18" s="13">
        <v>78</v>
      </c>
      <c r="AB18" s="13">
        <v>79</v>
      </c>
      <c r="AC18" s="13">
        <v>82</v>
      </c>
      <c r="AD18" s="13">
        <v>87</v>
      </c>
      <c r="AE18" s="13">
        <v>75</v>
      </c>
      <c r="AF18" s="13">
        <v>78</v>
      </c>
      <c r="AG18" s="13">
        <v>80</v>
      </c>
      <c r="AH18" s="13">
        <v>81</v>
      </c>
      <c r="AI18" s="13">
        <v>83</v>
      </c>
      <c r="AJ18" s="13">
        <v>85</v>
      </c>
      <c r="AK18" s="13">
        <v>81</v>
      </c>
      <c r="AL18" s="13">
        <v>77</v>
      </c>
      <c r="AM18" t="s">
        <v>992</v>
      </c>
      <c r="AN18" t="s">
        <v>992</v>
      </c>
      <c r="AO18" t="s">
        <v>992</v>
      </c>
      <c r="AP18" t="s">
        <v>992</v>
      </c>
      <c r="AQ18" s="13">
        <v>81</v>
      </c>
      <c r="AR18" s="13">
        <v>79</v>
      </c>
      <c r="AS18" s="13">
        <v>81</v>
      </c>
      <c r="AT18" s="13">
        <v>83</v>
      </c>
      <c r="AU18" s="13">
        <v>82</v>
      </c>
      <c r="AV18" s="13">
        <v>82</v>
      </c>
      <c r="AW18" s="13">
        <v>77</v>
      </c>
      <c r="AX18" s="13">
        <v>81</v>
      </c>
      <c r="AY18" s="13">
        <v>82</v>
      </c>
      <c r="AZ18" s="13">
        <v>81</v>
      </c>
      <c r="BA18" s="13">
        <v>81</v>
      </c>
      <c r="BB18" s="13">
        <v>82</v>
      </c>
      <c r="BC18" s="13">
        <v>75</v>
      </c>
      <c r="BD18" s="13">
        <v>78</v>
      </c>
      <c r="BE18" s="13">
        <v>75</v>
      </c>
      <c r="BF18" s="13">
        <v>76</v>
      </c>
      <c r="BG18" s="13">
        <v>75</v>
      </c>
      <c r="BH18" s="13">
        <v>75</v>
      </c>
      <c r="BI18" s="13">
        <v>79</v>
      </c>
      <c r="BJ18" s="13">
        <v>78</v>
      </c>
      <c r="BK18" s="13">
        <v>84</v>
      </c>
      <c r="BL18" s="13">
        <v>81</v>
      </c>
      <c r="BM18" s="13">
        <v>78</v>
      </c>
      <c r="BN18" s="13">
        <v>79</v>
      </c>
      <c r="BO18" s="13">
        <v>80</v>
      </c>
      <c r="BP18" s="13">
        <v>83</v>
      </c>
      <c r="BQ18" s="13">
        <v>78</v>
      </c>
      <c r="BR18" s="13">
        <v>81</v>
      </c>
      <c r="BS18">
        <v>80</v>
      </c>
      <c r="BT18">
        <v>81</v>
      </c>
      <c r="BU18" s="13">
        <v>81</v>
      </c>
      <c r="BV18" s="13">
        <v>85</v>
      </c>
      <c r="BW18" s="13">
        <v>82</v>
      </c>
      <c r="BX18" s="13">
        <v>83</v>
      </c>
      <c r="BY18" s="13">
        <v>82</v>
      </c>
      <c r="BZ18" s="13">
        <v>85</v>
      </c>
      <c r="CA18" s="13">
        <v>82</v>
      </c>
      <c r="CB18" s="13">
        <v>85</v>
      </c>
      <c r="CC18" s="19" t="s">
        <v>1001</v>
      </c>
      <c r="CD18" s="19" t="s">
        <v>1002</v>
      </c>
      <c r="CE18" s="43" t="s">
        <v>1004</v>
      </c>
      <c r="CF18" s="24" t="s">
        <v>996</v>
      </c>
      <c r="CJ18" s="24"/>
      <c r="CK18" s="13">
        <v>88.3333333333333</v>
      </c>
      <c r="CL18" s="13">
        <v>83</v>
      </c>
      <c r="CM18">
        <v>83</v>
      </c>
      <c r="CN18">
        <v>87</v>
      </c>
      <c r="CO18" s="13">
        <v>80</v>
      </c>
      <c r="CP18" s="13">
        <v>86.6388888888889</v>
      </c>
      <c r="CQ18" s="13">
        <f t="shared" si="0"/>
        <v>82</v>
      </c>
      <c r="CR18" s="13">
        <f t="shared" si="1"/>
        <v>81.333333333333329</v>
      </c>
      <c r="CS18" s="13">
        <f t="shared" si="2"/>
        <v>79.833333333333329</v>
      </c>
      <c r="CT18" s="13">
        <f t="shared" si="3"/>
        <v>80</v>
      </c>
      <c r="CU18" s="13">
        <f t="shared" si="4"/>
        <v>80.333333333333329</v>
      </c>
      <c r="CV18" s="13">
        <f t="shared" si="5"/>
        <v>80</v>
      </c>
      <c r="CW18" s="13">
        <f t="shared" si="6"/>
        <v>82</v>
      </c>
      <c r="CX18" s="13">
        <f t="shared" si="7"/>
        <v>83.5</v>
      </c>
      <c r="CY18" s="13">
        <f t="shared" si="8"/>
        <v>81.5</v>
      </c>
      <c r="CZ18" s="13">
        <f t="shared" si="9"/>
        <v>81.5</v>
      </c>
      <c r="DA18" s="13">
        <f t="shared" si="10"/>
        <v>79</v>
      </c>
      <c r="DB18" s="13">
        <f t="shared" si="11"/>
        <v>75.5</v>
      </c>
      <c r="DC18" s="13">
        <f t="shared" si="12"/>
        <v>75</v>
      </c>
      <c r="DD18" s="13">
        <f t="shared" si="13"/>
        <v>76.5</v>
      </c>
      <c r="DE18" s="13">
        <f t="shared" si="14"/>
        <v>80.5</v>
      </c>
      <c r="DF18" s="13">
        <f t="shared" si="15"/>
        <v>80</v>
      </c>
      <c r="DG18" s="13">
        <f t="shared" si="16"/>
        <v>80</v>
      </c>
      <c r="DH18" s="13">
        <f t="shared" si="17"/>
        <v>83</v>
      </c>
      <c r="DI18" s="13">
        <f t="shared" si="18"/>
        <v>83</v>
      </c>
      <c r="DJ18" s="13">
        <f t="shared" si="19"/>
        <v>79</v>
      </c>
      <c r="DK18" s="13">
        <f t="shared" si="20"/>
        <v>80.174999999999997</v>
      </c>
    </row>
    <row r="19" spans="1:115">
      <c r="A19">
        <v>18</v>
      </c>
      <c r="B19">
        <f>'DATA US'!B32</f>
        <v>222310017</v>
      </c>
      <c r="C19" t="str">
        <f>'DATA US'!F32</f>
        <v>BEKASI</v>
      </c>
      <c r="D19" s="37" t="str">
        <f>'DATA US'!G32</f>
        <v>1 Mei 2007</v>
      </c>
      <c r="E19" t="str">
        <f>'DATA US'!C32</f>
        <v>0076466900</v>
      </c>
      <c r="F19" t="str">
        <f>'DATA US'!D32</f>
        <v>MUHAMAD RIDWAN</v>
      </c>
      <c r="G19" s="13">
        <v>79</v>
      </c>
      <c r="H19" s="13">
        <v>77</v>
      </c>
      <c r="I19" s="13">
        <v>78</v>
      </c>
      <c r="J19" s="13">
        <v>82</v>
      </c>
      <c r="K19" s="13">
        <v>83</v>
      </c>
      <c r="L19" s="13">
        <v>84</v>
      </c>
      <c r="M19" s="13">
        <v>80</v>
      </c>
      <c r="N19" s="13">
        <v>79</v>
      </c>
      <c r="O19" s="13">
        <v>78</v>
      </c>
      <c r="P19" s="13">
        <v>83</v>
      </c>
      <c r="Q19" s="13">
        <v>81</v>
      </c>
      <c r="R19" s="13">
        <v>83</v>
      </c>
      <c r="S19" s="13">
        <v>83</v>
      </c>
      <c r="T19" s="13">
        <v>76</v>
      </c>
      <c r="U19" s="13">
        <v>78</v>
      </c>
      <c r="V19" s="13">
        <v>80</v>
      </c>
      <c r="W19" s="13">
        <v>80</v>
      </c>
      <c r="X19" s="13">
        <v>83</v>
      </c>
      <c r="Y19" s="13">
        <v>75</v>
      </c>
      <c r="Z19" s="13">
        <v>75</v>
      </c>
      <c r="AA19" s="13">
        <v>78</v>
      </c>
      <c r="AB19" s="13">
        <v>79</v>
      </c>
      <c r="AC19" s="13">
        <v>84</v>
      </c>
      <c r="AD19" s="13">
        <v>84</v>
      </c>
      <c r="AE19" s="13">
        <v>79</v>
      </c>
      <c r="AF19" s="13">
        <v>75</v>
      </c>
      <c r="AG19" s="13">
        <v>79</v>
      </c>
      <c r="AH19" s="13">
        <v>81</v>
      </c>
      <c r="AI19" s="13">
        <v>82</v>
      </c>
      <c r="AJ19" s="13">
        <v>85</v>
      </c>
      <c r="AK19" s="13">
        <v>80</v>
      </c>
      <c r="AL19" s="13">
        <v>75</v>
      </c>
      <c r="AM19" t="s">
        <v>992</v>
      </c>
      <c r="AN19" t="s">
        <v>992</v>
      </c>
      <c r="AO19" t="s">
        <v>992</v>
      </c>
      <c r="AP19" t="s">
        <v>992</v>
      </c>
      <c r="AQ19" s="13">
        <v>81</v>
      </c>
      <c r="AR19" s="13">
        <v>78</v>
      </c>
      <c r="AS19" s="13">
        <v>80</v>
      </c>
      <c r="AT19" s="13">
        <v>82</v>
      </c>
      <c r="AU19" s="13">
        <v>87</v>
      </c>
      <c r="AV19" s="13">
        <v>83</v>
      </c>
      <c r="AW19" s="13">
        <v>77</v>
      </c>
      <c r="AX19" s="13">
        <v>81</v>
      </c>
      <c r="AY19" s="13">
        <v>83</v>
      </c>
      <c r="AZ19" s="13">
        <v>82</v>
      </c>
      <c r="BA19" s="13">
        <v>83</v>
      </c>
      <c r="BB19" s="13">
        <v>83</v>
      </c>
      <c r="BC19" s="13">
        <v>75</v>
      </c>
      <c r="BD19" s="13">
        <v>81</v>
      </c>
      <c r="BE19" s="13">
        <v>75</v>
      </c>
      <c r="BF19" s="13">
        <v>75</v>
      </c>
      <c r="BG19" s="13">
        <v>75</v>
      </c>
      <c r="BH19" s="13">
        <v>75</v>
      </c>
      <c r="BI19" s="13">
        <v>79</v>
      </c>
      <c r="BJ19" s="13">
        <v>79</v>
      </c>
      <c r="BK19" s="13">
        <v>83</v>
      </c>
      <c r="BL19" s="13">
        <v>81</v>
      </c>
      <c r="BM19" s="13">
        <v>78</v>
      </c>
      <c r="BN19" s="13">
        <v>79</v>
      </c>
      <c r="BO19" s="13">
        <v>85</v>
      </c>
      <c r="BP19">
        <v>86</v>
      </c>
      <c r="BQ19" s="13">
        <v>78</v>
      </c>
      <c r="BR19" s="13">
        <v>80</v>
      </c>
      <c r="BS19">
        <v>81</v>
      </c>
      <c r="BT19">
        <v>80</v>
      </c>
      <c r="BU19" s="13">
        <v>81</v>
      </c>
      <c r="BV19" s="13">
        <v>85</v>
      </c>
      <c r="BW19" s="13">
        <v>82</v>
      </c>
      <c r="BX19" s="13">
        <v>83</v>
      </c>
      <c r="BY19" s="13">
        <v>82</v>
      </c>
      <c r="BZ19" s="13">
        <v>85</v>
      </c>
      <c r="CA19" s="13">
        <v>81</v>
      </c>
      <c r="CB19" s="13">
        <v>81</v>
      </c>
      <c r="CC19" t="s">
        <v>1001</v>
      </c>
      <c r="CD19" t="s">
        <v>1002</v>
      </c>
      <c r="CE19" s="36" t="s">
        <v>1004</v>
      </c>
      <c r="CF19" s="24" t="s">
        <v>996</v>
      </c>
      <c r="CJ19" s="24"/>
      <c r="CK19" s="13">
        <v>88.3333333333333</v>
      </c>
      <c r="CL19" s="13">
        <v>82</v>
      </c>
      <c r="CM19">
        <v>80</v>
      </c>
      <c r="CN19">
        <v>86</v>
      </c>
      <c r="CO19" s="13">
        <v>80.5</v>
      </c>
      <c r="CP19" s="13">
        <v>85</v>
      </c>
      <c r="CQ19" s="13">
        <f t="shared" si="0"/>
        <v>80.5</v>
      </c>
      <c r="CR19" s="13">
        <f t="shared" si="1"/>
        <v>80.666666666666671</v>
      </c>
      <c r="CS19" s="13">
        <f t="shared" si="2"/>
        <v>79.166666666666671</v>
      </c>
      <c r="CT19" s="13">
        <f t="shared" si="3"/>
        <v>80</v>
      </c>
      <c r="CU19" s="13">
        <f t="shared" si="4"/>
        <v>80.166666666666671</v>
      </c>
      <c r="CV19" s="13">
        <f t="shared" si="5"/>
        <v>79.5</v>
      </c>
      <c r="CW19" s="13">
        <f t="shared" si="6"/>
        <v>83</v>
      </c>
      <c r="CX19" s="13">
        <f t="shared" si="7"/>
        <v>81</v>
      </c>
      <c r="CY19" s="13">
        <f t="shared" si="8"/>
        <v>83</v>
      </c>
      <c r="CZ19" s="13">
        <f t="shared" si="9"/>
        <v>82.5</v>
      </c>
      <c r="DA19" s="13">
        <f t="shared" si="10"/>
        <v>79</v>
      </c>
      <c r="DB19" s="13">
        <f t="shared" si="11"/>
        <v>75</v>
      </c>
      <c r="DC19" s="13">
        <f t="shared" si="12"/>
        <v>75</v>
      </c>
      <c r="DD19" s="13">
        <f t="shared" si="13"/>
        <v>78</v>
      </c>
      <c r="DE19" s="13">
        <f t="shared" si="14"/>
        <v>80.5</v>
      </c>
      <c r="DF19" s="13">
        <f t="shared" si="15"/>
        <v>82</v>
      </c>
      <c r="DG19" s="13">
        <f t="shared" si="16"/>
        <v>79.75</v>
      </c>
      <c r="DH19" s="13">
        <f t="shared" si="17"/>
        <v>83</v>
      </c>
      <c r="DI19" s="13">
        <f t="shared" si="18"/>
        <v>83</v>
      </c>
      <c r="DJ19" s="13">
        <f t="shared" si="19"/>
        <v>77.5</v>
      </c>
      <c r="DK19" s="13">
        <f t="shared" si="20"/>
        <v>80.112499999999997</v>
      </c>
    </row>
    <row r="20" spans="1:115">
      <c r="A20">
        <v>19</v>
      </c>
      <c r="B20">
        <f>'DATA US'!B33</f>
        <v>222310018</v>
      </c>
      <c r="C20" t="str">
        <f>'DATA US'!F33</f>
        <v>BEKASI</v>
      </c>
      <c r="D20" s="37" t="str">
        <f>'DATA US'!G33</f>
        <v>13 Mei 2007</v>
      </c>
      <c r="E20" t="str">
        <f>'DATA US'!C33</f>
        <v>0078778308</v>
      </c>
      <c r="F20" t="str">
        <f>'DATA US'!D33</f>
        <v>MUHAMMAD DAFFA BADRANI</v>
      </c>
      <c r="G20" s="13">
        <v>81</v>
      </c>
      <c r="H20" s="13">
        <v>77</v>
      </c>
      <c r="I20" s="13">
        <v>83</v>
      </c>
      <c r="J20" s="13">
        <v>82</v>
      </c>
      <c r="K20" s="13">
        <v>82</v>
      </c>
      <c r="L20" s="13">
        <v>83</v>
      </c>
      <c r="M20" s="13">
        <v>79</v>
      </c>
      <c r="N20" s="13">
        <v>81</v>
      </c>
      <c r="O20" s="13">
        <v>79</v>
      </c>
      <c r="P20" s="13">
        <v>83</v>
      </c>
      <c r="Q20" s="13">
        <v>81</v>
      </c>
      <c r="R20" s="13">
        <v>84</v>
      </c>
      <c r="S20" s="13">
        <v>79</v>
      </c>
      <c r="T20" s="13">
        <v>76</v>
      </c>
      <c r="U20" s="13">
        <v>78</v>
      </c>
      <c r="V20" s="13">
        <v>80</v>
      </c>
      <c r="W20" s="13">
        <v>80</v>
      </c>
      <c r="X20" s="13">
        <v>83</v>
      </c>
      <c r="Y20" s="13">
        <v>75</v>
      </c>
      <c r="Z20" s="13">
        <v>76</v>
      </c>
      <c r="AA20" s="13">
        <v>78</v>
      </c>
      <c r="AB20" s="13">
        <v>79</v>
      </c>
      <c r="AC20" s="13">
        <v>81</v>
      </c>
      <c r="AD20" s="13">
        <v>86</v>
      </c>
      <c r="AE20" s="13">
        <v>78</v>
      </c>
      <c r="AF20" s="13">
        <v>75</v>
      </c>
      <c r="AG20" s="13">
        <v>79</v>
      </c>
      <c r="AH20" s="13">
        <v>81</v>
      </c>
      <c r="AI20" s="13">
        <v>81</v>
      </c>
      <c r="AJ20" s="13">
        <v>80</v>
      </c>
      <c r="AK20" s="13">
        <v>80</v>
      </c>
      <c r="AL20" s="13">
        <v>76</v>
      </c>
      <c r="AM20" t="s">
        <v>992</v>
      </c>
      <c r="AN20" t="s">
        <v>992</v>
      </c>
      <c r="AO20" t="s">
        <v>992</v>
      </c>
      <c r="AP20" t="s">
        <v>992</v>
      </c>
      <c r="AQ20" s="13">
        <v>80</v>
      </c>
      <c r="AR20" s="13">
        <v>79</v>
      </c>
      <c r="AS20" s="13">
        <v>80</v>
      </c>
      <c r="AT20" s="13">
        <v>82</v>
      </c>
      <c r="AU20" s="13">
        <v>87</v>
      </c>
      <c r="AV20" s="13">
        <v>83</v>
      </c>
      <c r="AW20" s="13">
        <v>76</v>
      </c>
      <c r="AX20" s="13">
        <v>81</v>
      </c>
      <c r="AY20" s="13">
        <v>82</v>
      </c>
      <c r="AZ20" s="13">
        <v>81</v>
      </c>
      <c r="BA20" s="13">
        <v>82</v>
      </c>
      <c r="BB20" s="13">
        <v>83</v>
      </c>
      <c r="BC20" s="13">
        <v>88</v>
      </c>
      <c r="BD20" s="13">
        <v>75</v>
      </c>
      <c r="BE20" s="13">
        <v>88</v>
      </c>
      <c r="BF20" s="13">
        <v>81</v>
      </c>
      <c r="BG20" s="13">
        <v>75</v>
      </c>
      <c r="BH20" s="13">
        <v>81</v>
      </c>
      <c r="BI20" s="13">
        <v>78</v>
      </c>
      <c r="BJ20" s="13">
        <v>80</v>
      </c>
      <c r="BK20" s="13">
        <v>83</v>
      </c>
      <c r="BL20" s="13">
        <v>80</v>
      </c>
      <c r="BM20" s="13">
        <v>78</v>
      </c>
      <c r="BN20" s="13">
        <v>80</v>
      </c>
      <c r="BO20" s="13">
        <v>87</v>
      </c>
      <c r="BP20">
        <v>88</v>
      </c>
      <c r="BQ20" s="13">
        <v>78</v>
      </c>
      <c r="BR20" s="13">
        <v>83</v>
      </c>
      <c r="BS20">
        <v>80</v>
      </c>
      <c r="BT20">
        <v>80</v>
      </c>
      <c r="BU20" s="13">
        <v>84</v>
      </c>
      <c r="BV20" s="13">
        <v>85</v>
      </c>
      <c r="BW20" s="13">
        <v>82</v>
      </c>
      <c r="BX20" s="13">
        <v>83</v>
      </c>
      <c r="BY20" s="13">
        <v>81</v>
      </c>
      <c r="BZ20" s="13">
        <v>85</v>
      </c>
      <c r="CA20" s="13">
        <v>80</v>
      </c>
      <c r="CB20" s="13">
        <v>82</v>
      </c>
      <c r="CC20" t="s">
        <v>1027</v>
      </c>
      <c r="CD20" t="s">
        <v>994</v>
      </c>
      <c r="CE20" s="43" t="s">
        <v>1034</v>
      </c>
      <c r="CF20" s="24" t="s">
        <v>996</v>
      </c>
      <c r="CJ20" s="24"/>
      <c r="CK20" s="13">
        <v>90</v>
      </c>
      <c r="CL20" s="13">
        <v>83.6666666666667</v>
      </c>
      <c r="CM20">
        <v>81</v>
      </c>
      <c r="CN20">
        <v>87</v>
      </c>
      <c r="CO20" s="13">
        <v>82.25</v>
      </c>
      <c r="CP20" s="13">
        <v>89.1944444444444</v>
      </c>
      <c r="CQ20" s="13">
        <f t="shared" si="0"/>
        <v>81.333333333333329</v>
      </c>
      <c r="CR20" s="13">
        <f t="shared" si="1"/>
        <v>81.166666666666671</v>
      </c>
      <c r="CS20" s="13">
        <f t="shared" si="2"/>
        <v>79.166666666666671</v>
      </c>
      <c r="CT20" s="13">
        <f t="shared" si="3"/>
        <v>79.333333333333329</v>
      </c>
      <c r="CU20" s="13">
        <f t="shared" si="4"/>
        <v>79</v>
      </c>
      <c r="CV20" s="13">
        <f t="shared" si="5"/>
        <v>79.5</v>
      </c>
      <c r="CW20" s="13">
        <f t="shared" si="6"/>
        <v>83</v>
      </c>
      <c r="CX20" s="13">
        <f t="shared" si="7"/>
        <v>81</v>
      </c>
      <c r="CY20" s="13">
        <f t="shared" si="8"/>
        <v>82.5</v>
      </c>
      <c r="CZ20" s="13">
        <f t="shared" si="9"/>
        <v>81.5</v>
      </c>
      <c r="DA20" s="13">
        <f t="shared" si="10"/>
        <v>78.5</v>
      </c>
      <c r="DB20" s="13">
        <f t="shared" si="11"/>
        <v>84.5</v>
      </c>
      <c r="DC20" s="13">
        <f t="shared" si="12"/>
        <v>78</v>
      </c>
      <c r="DD20" s="13">
        <f t="shared" si="13"/>
        <v>81.5</v>
      </c>
      <c r="DE20" s="13">
        <f t="shared" si="14"/>
        <v>80.25</v>
      </c>
      <c r="DF20" s="13">
        <f t="shared" si="15"/>
        <v>83.25</v>
      </c>
      <c r="DG20" s="13">
        <f t="shared" si="16"/>
        <v>80.25</v>
      </c>
      <c r="DH20" s="13">
        <f t="shared" si="17"/>
        <v>82.75</v>
      </c>
      <c r="DI20" s="13">
        <f t="shared" si="18"/>
        <v>84.5</v>
      </c>
      <c r="DJ20" s="13">
        <f t="shared" si="19"/>
        <v>78</v>
      </c>
      <c r="DK20" s="13">
        <f t="shared" si="20"/>
        <v>80.95</v>
      </c>
    </row>
    <row r="21" spans="1:115">
      <c r="A21">
        <v>20</v>
      </c>
      <c r="B21">
        <f>'DATA US'!B34</f>
        <v>222310019</v>
      </c>
      <c r="C21" t="str">
        <f>'DATA US'!F34</f>
        <v>BEKASI</v>
      </c>
      <c r="D21" s="37" t="str">
        <f>'DATA US'!G34</f>
        <v>17 Desember 2006</v>
      </c>
      <c r="E21" t="str">
        <f>'DATA US'!C34</f>
        <v>0062690739</v>
      </c>
      <c r="F21" t="str">
        <f>'DATA US'!D34</f>
        <v>MUHAMMAD HAFIZ</v>
      </c>
      <c r="G21" s="13">
        <v>84</v>
      </c>
      <c r="H21" s="13">
        <v>85</v>
      </c>
      <c r="I21" s="13">
        <v>86</v>
      </c>
      <c r="J21" s="13">
        <v>86</v>
      </c>
      <c r="K21" s="13">
        <v>85</v>
      </c>
      <c r="L21" s="13">
        <v>86</v>
      </c>
      <c r="M21" s="13">
        <v>87</v>
      </c>
      <c r="N21" s="13">
        <v>87</v>
      </c>
      <c r="O21" s="13">
        <v>83</v>
      </c>
      <c r="P21" s="13">
        <v>86</v>
      </c>
      <c r="Q21" s="13">
        <v>85</v>
      </c>
      <c r="R21" s="13">
        <v>87</v>
      </c>
      <c r="S21" s="13">
        <v>80</v>
      </c>
      <c r="T21" s="13">
        <v>85</v>
      </c>
      <c r="U21" s="13">
        <v>82</v>
      </c>
      <c r="V21" s="13">
        <v>89</v>
      </c>
      <c r="W21" s="13">
        <v>86</v>
      </c>
      <c r="X21" s="13">
        <v>90</v>
      </c>
      <c r="Y21" s="13">
        <v>75</v>
      </c>
      <c r="Z21" s="13">
        <v>87</v>
      </c>
      <c r="AA21" s="13">
        <v>84</v>
      </c>
      <c r="AB21" s="13">
        <v>85</v>
      </c>
      <c r="AC21" s="13">
        <v>88</v>
      </c>
      <c r="AD21" s="13">
        <v>84</v>
      </c>
      <c r="AE21" s="13">
        <v>80</v>
      </c>
      <c r="AF21" s="13">
        <v>84</v>
      </c>
      <c r="AG21" s="13">
        <v>85</v>
      </c>
      <c r="AH21" s="13">
        <v>87</v>
      </c>
      <c r="AI21" s="13">
        <v>87</v>
      </c>
      <c r="AJ21" s="13">
        <v>90</v>
      </c>
      <c r="AK21" s="13">
        <v>88</v>
      </c>
      <c r="AL21" s="13">
        <v>89</v>
      </c>
      <c r="AM21" t="s">
        <v>992</v>
      </c>
      <c r="AN21" t="s">
        <v>992</v>
      </c>
      <c r="AO21" t="s">
        <v>992</v>
      </c>
      <c r="AP21" t="s">
        <v>992</v>
      </c>
      <c r="AQ21" s="13">
        <v>84</v>
      </c>
      <c r="AR21" s="13">
        <v>84</v>
      </c>
      <c r="AS21" s="13">
        <v>80</v>
      </c>
      <c r="AT21" s="13">
        <v>82</v>
      </c>
      <c r="AU21" s="13">
        <v>87</v>
      </c>
      <c r="AV21" s="13">
        <v>85</v>
      </c>
      <c r="AW21" s="13">
        <v>80</v>
      </c>
      <c r="AX21" s="13">
        <v>83</v>
      </c>
      <c r="AY21" s="13">
        <v>85</v>
      </c>
      <c r="AZ21" s="13">
        <v>85</v>
      </c>
      <c r="BA21" s="13">
        <v>84</v>
      </c>
      <c r="BB21" s="13">
        <v>85</v>
      </c>
      <c r="BC21" s="13">
        <v>87</v>
      </c>
      <c r="BD21" s="13">
        <v>90</v>
      </c>
      <c r="BE21" s="13">
        <v>85</v>
      </c>
      <c r="BF21" s="13">
        <v>89</v>
      </c>
      <c r="BG21" s="13">
        <v>76</v>
      </c>
      <c r="BH21" s="13">
        <v>82</v>
      </c>
      <c r="BI21" s="13">
        <v>85</v>
      </c>
      <c r="BJ21" s="13">
        <v>88</v>
      </c>
      <c r="BK21" s="13">
        <v>84</v>
      </c>
      <c r="BL21" s="13">
        <v>81</v>
      </c>
      <c r="BM21" s="13">
        <v>88</v>
      </c>
      <c r="BN21" s="13">
        <v>86</v>
      </c>
      <c r="BO21" s="13">
        <v>87</v>
      </c>
      <c r="BP21">
        <v>88</v>
      </c>
      <c r="BQ21" s="13">
        <v>82</v>
      </c>
      <c r="BR21" s="13">
        <v>89</v>
      </c>
      <c r="BS21">
        <v>88</v>
      </c>
      <c r="BT21">
        <v>82</v>
      </c>
      <c r="BU21" s="13">
        <v>86</v>
      </c>
      <c r="BV21" s="13">
        <v>90</v>
      </c>
      <c r="BW21" s="13">
        <v>88</v>
      </c>
      <c r="BX21" s="13">
        <v>88</v>
      </c>
      <c r="BY21" s="13">
        <v>81</v>
      </c>
      <c r="BZ21" s="13">
        <v>90</v>
      </c>
      <c r="CA21" s="13">
        <v>86</v>
      </c>
      <c r="CB21" s="13">
        <v>89</v>
      </c>
      <c r="CC21" t="s">
        <v>1028</v>
      </c>
      <c r="CD21" t="s">
        <v>1029</v>
      </c>
      <c r="CE21" s="36" t="s">
        <v>1030</v>
      </c>
      <c r="CF21" s="24" t="s">
        <v>1000</v>
      </c>
      <c r="CG21" t="s">
        <v>1031</v>
      </c>
      <c r="CH21" t="s">
        <v>1011</v>
      </c>
      <c r="CI21" t="s">
        <v>1032</v>
      </c>
      <c r="CJ21" s="24" t="s">
        <v>1000</v>
      </c>
      <c r="CK21" s="13">
        <v>92.3333333333333</v>
      </c>
      <c r="CL21" s="13">
        <v>87</v>
      </c>
      <c r="CM21">
        <v>90</v>
      </c>
      <c r="CN21">
        <v>87</v>
      </c>
      <c r="CO21" s="13">
        <v>82.75</v>
      </c>
      <c r="CP21" s="13">
        <v>89.75</v>
      </c>
      <c r="CQ21" s="13">
        <f t="shared" si="0"/>
        <v>85.333333333333329</v>
      </c>
      <c r="CR21" s="13">
        <f t="shared" si="1"/>
        <v>85.833333333333329</v>
      </c>
      <c r="CS21" s="13">
        <f t="shared" si="2"/>
        <v>83.833333333333329</v>
      </c>
      <c r="CT21" s="13">
        <f t="shared" si="3"/>
        <v>85.333333333333329</v>
      </c>
      <c r="CU21" s="13">
        <f t="shared" si="4"/>
        <v>85.5</v>
      </c>
      <c r="CV21" s="13">
        <f t="shared" si="5"/>
        <v>84</v>
      </c>
      <c r="CW21" s="13">
        <f t="shared" si="6"/>
        <v>83.5</v>
      </c>
      <c r="CX21" s="13">
        <f t="shared" si="7"/>
        <v>87.5</v>
      </c>
      <c r="CY21" s="13">
        <f t="shared" si="8"/>
        <v>84.5</v>
      </c>
      <c r="CZ21" s="13">
        <f t="shared" si="9"/>
        <v>85</v>
      </c>
      <c r="DA21" s="13">
        <f t="shared" si="10"/>
        <v>81.5</v>
      </c>
      <c r="DB21" s="13">
        <f t="shared" si="11"/>
        <v>87</v>
      </c>
      <c r="DC21" s="13">
        <f t="shared" si="12"/>
        <v>79</v>
      </c>
      <c r="DD21" s="13">
        <f t="shared" si="13"/>
        <v>88.5</v>
      </c>
      <c r="DE21" s="13">
        <f>AVERAGE(BI21:BL21)</f>
        <v>84.5</v>
      </c>
      <c r="DF21" s="13">
        <f t="shared" si="15"/>
        <v>87.25</v>
      </c>
      <c r="DG21" s="13">
        <f t="shared" si="16"/>
        <v>85.25</v>
      </c>
      <c r="DH21" s="13">
        <f t="shared" si="17"/>
        <v>86.75</v>
      </c>
      <c r="DI21" s="13">
        <f t="shared" si="18"/>
        <v>88</v>
      </c>
      <c r="DJ21" s="13">
        <f t="shared" si="19"/>
        <v>88.5</v>
      </c>
      <c r="DK21" s="13">
        <f t="shared" si="20"/>
        <v>85.329166666666666</v>
      </c>
    </row>
    <row r="22" spans="1:115" ht="15.6">
      <c r="A22">
        <v>21</v>
      </c>
      <c r="B22">
        <f>'DATA US'!B35</f>
        <v>222310020</v>
      </c>
      <c r="C22" t="str">
        <f>'DATA US'!F35</f>
        <v>BEKASI</v>
      </c>
      <c r="D22" s="37" t="str">
        <f>'DATA US'!G35</f>
        <v>16 Januari 2007</v>
      </c>
      <c r="E22" t="str">
        <f>'DATA US'!C35</f>
        <v>0073389680</v>
      </c>
      <c r="F22" t="str">
        <f>'DATA US'!D35</f>
        <v>MUHAMMAD NUR</v>
      </c>
      <c r="G22" s="13">
        <v>83</v>
      </c>
      <c r="H22" s="13">
        <v>84</v>
      </c>
      <c r="I22" s="13">
        <v>82</v>
      </c>
      <c r="J22" s="13">
        <v>85</v>
      </c>
      <c r="K22" s="13">
        <v>84</v>
      </c>
      <c r="L22" s="13">
        <v>86</v>
      </c>
      <c r="M22" s="13">
        <v>84</v>
      </c>
      <c r="N22" s="13">
        <v>87</v>
      </c>
      <c r="O22" s="13">
        <v>85</v>
      </c>
      <c r="P22" s="13">
        <v>86</v>
      </c>
      <c r="Q22" s="13">
        <v>86</v>
      </c>
      <c r="R22" s="13">
        <v>89</v>
      </c>
      <c r="S22" s="13">
        <v>80</v>
      </c>
      <c r="T22" s="13">
        <v>85</v>
      </c>
      <c r="U22" s="13">
        <v>90</v>
      </c>
      <c r="V22" s="13">
        <v>90</v>
      </c>
      <c r="W22" s="13">
        <v>91</v>
      </c>
      <c r="X22" s="13">
        <v>91</v>
      </c>
      <c r="Y22" s="13">
        <v>76</v>
      </c>
      <c r="Z22" s="13">
        <v>87</v>
      </c>
      <c r="AA22" s="13">
        <v>86</v>
      </c>
      <c r="AB22" s="13">
        <v>86</v>
      </c>
      <c r="AC22" s="13">
        <v>88</v>
      </c>
      <c r="AD22" s="13">
        <v>91</v>
      </c>
      <c r="AE22" s="13">
        <v>78</v>
      </c>
      <c r="AF22" s="13">
        <v>85</v>
      </c>
      <c r="AG22" s="13">
        <v>86</v>
      </c>
      <c r="AH22" s="13">
        <v>88</v>
      </c>
      <c r="AI22" s="13">
        <v>87</v>
      </c>
      <c r="AJ22" s="13">
        <v>95</v>
      </c>
      <c r="AK22" s="13">
        <v>86</v>
      </c>
      <c r="AL22" s="13">
        <v>88</v>
      </c>
      <c r="AM22" t="s">
        <v>992</v>
      </c>
      <c r="AN22" t="s">
        <v>992</v>
      </c>
      <c r="AO22" t="s">
        <v>992</v>
      </c>
      <c r="AP22" t="s">
        <v>992</v>
      </c>
      <c r="AQ22" s="13">
        <v>84</v>
      </c>
      <c r="AR22" s="13">
        <v>83</v>
      </c>
      <c r="AS22" s="13">
        <v>80</v>
      </c>
      <c r="AT22" s="13">
        <v>82</v>
      </c>
      <c r="AU22" s="13">
        <v>88</v>
      </c>
      <c r="AV22" s="13">
        <v>83</v>
      </c>
      <c r="AW22" s="13">
        <v>81</v>
      </c>
      <c r="AX22" s="13">
        <v>85</v>
      </c>
      <c r="AY22" s="13">
        <v>84</v>
      </c>
      <c r="AZ22" s="13">
        <v>85</v>
      </c>
      <c r="BA22" s="13">
        <v>83</v>
      </c>
      <c r="BB22" s="13">
        <v>85</v>
      </c>
      <c r="BC22" s="13">
        <v>85</v>
      </c>
      <c r="BD22" s="13">
        <v>91</v>
      </c>
      <c r="BE22" s="13">
        <v>84</v>
      </c>
      <c r="BF22" s="13">
        <v>89</v>
      </c>
      <c r="BG22" s="13">
        <v>76</v>
      </c>
      <c r="BH22" s="13">
        <v>83</v>
      </c>
      <c r="BI22" s="13">
        <v>85</v>
      </c>
      <c r="BJ22" s="13">
        <v>86</v>
      </c>
      <c r="BK22" s="13">
        <v>83</v>
      </c>
      <c r="BL22" s="13">
        <v>88</v>
      </c>
      <c r="BM22" s="13">
        <v>88</v>
      </c>
      <c r="BN22" s="13">
        <v>86</v>
      </c>
      <c r="BO22" s="13">
        <v>89</v>
      </c>
      <c r="BP22" s="13">
        <v>90</v>
      </c>
      <c r="BQ22" s="13">
        <v>86</v>
      </c>
      <c r="BR22" s="13">
        <v>89</v>
      </c>
      <c r="BS22">
        <v>88</v>
      </c>
      <c r="BT22">
        <v>88</v>
      </c>
      <c r="BU22" s="13">
        <v>81</v>
      </c>
      <c r="BV22" s="13">
        <v>90</v>
      </c>
      <c r="BW22" s="13">
        <v>88</v>
      </c>
      <c r="BX22" s="13">
        <v>88</v>
      </c>
      <c r="BY22" s="13">
        <v>81</v>
      </c>
      <c r="BZ22" s="13">
        <v>90</v>
      </c>
      <c r="CA22" s="13">
        <v>84</v>
      </c>
      <c r="CB22" s="13">
        <v>89</v>
      </c>
      <c r="CC22" s="19" t="s">
        <v>1033</v>
      </c>
      <c r="CD22" s="44" t="s">
        <v>994</v>
      </c>
      <c r="CE22" s="43" t="s">
        <v>1034</v>
      </c>
      <c r="CF22" s="24" t="s">
        <v>1000</v>
      </c>
      <c r="CG22" s="19" t="s">
        <v>993</v>
      </c>
      <c r="CH22" s="19" t="s">
        <v>994</v>
      </c>
      <c r="CI22" s="19" t="s">
        <v>1035</v>
      </c>
      <c r="CJ22" s="24" t="s">
        <v>1000</v>
      </c>
      <c r="CK22" s="13">
        <v>92.3333333333333</v>
      </c>
      <c r="CL22" s="13">
        <v>86.3333333333333</v>
      </c>
      <c r="CM22">
        <v>97</v>
      </c>
      <c r="CN22">
        <v>87</v>
      </c>
      <c r="CO22" s="13">
        <v>83.25</v>
      </c>
      <c r="CP22" s="13">
        <v>90.1388888888889</v>
      </c>
      <c r="CQ22" s="13">
        <f t="shared" si="0"/>
        <v>84</v>
      </c>
      <c r="CR22" s="13">
        <f t="shared" si="1"/>
        <v>86.166666666666671</v>
      </c>
      <c r="CS22" s="13">
        <f t="shared" si="2"/>
        <v>85.666666666666671</v>
      </c>
      <c r="CT22" s="13">
        <f t="shared" si="3"/>
        <v>87.833333333333329</v>
      </c>
      <c r="CU22" s="13">
        <f t="shared" si="4"/>
        <v>86.5</v>
      </c>
      <c r="CV22" s="13">
        <f t="shared" si="5"/>
        <v>83.5</v>
      </c>
      <c r="CW22" s="13">
        <f t="shared" si="6"/>
        <v>83.25</v>
      </c>
      <c r="CX22" s="13">
        <f t="shared" si="7"/>
        <v>86.5</v>
      </c>
      <c r="CY22" s="13">
        <f t="shared" si="8"/>
        <v>84</v>
      </c>
      <c r="CZ22" s="13">
        <f t="shared" si="9"/>
        <v>84.5</v>
      </c>
      <c r="DA22" s="13">
        <f t="shared" si="10"/>
        <v>83</v>
      </c>
      <c r="DB22" s="13">
        <f t="shared" si="11"/>
        <v>86.5</v>
      </c>
      <c r="DC22" s="13">
        <f t="shared" si="12"/>
        <v>79.5</v>
      </c>
      <c r="DD22" s="13">
        <f t="shared" si="13"/>
        <v>88</v>
      </c>
      <c r="DE22" s="13">
        <f t="shared" si="14"/>
        <v>85.5</v>
      </c>
      <c r="DF22" s="13">
        <f t="shared" si="15"/>
        <v>88.25</v>
      </c>
      <c r="DG22" s="13">
        <f t="shared" si="16"/>
        <v>87.75</v>
      </c>
      <c r="DH22" s="13">
        <f t="shared" si="17"/>
        <v>86.75</v>
      </c>
      <c r="DI22" s="13">
        <f t="shared" si="18"/>
        <v>85.5</v>
      </c>
      <c r="DJ22" s="13">
        <f t="shared" si="19"/>
        <v>87</v>
      </c>
      <c r="DK22" s="13">
        <f t="shared" si="20"/>
        <v>85.483333333333334</v>
      </c>
    </row>
    <row r="23" spans="1:115" ht="15.6">
      <c r="A23">
        <v>22</v>
      </c>
      <c r="B23">
        <f>'DATA US'!B36</f>
        <v>222310021</v>
      </c>
      <c r="C23" t="str">
        <f>'DATA US'!F36</f>
        <v>BEKASI</v>
      </c>
      <c r="D23" s="37" t="str">
        <f>'DATA US'!G36</f>
        <v>1 April 2007</v>
      </c>
      <c r="E23" t="str">
        <f>'DATA US'!C36</f>
        <v>0078597234</v>
      </c>
      <c r="F23" t="str">
        <f>'DATA US'!D36</f>
        <v>MUHAMMAD REIFAN</v>
      </c>
      <c r="G23" s="13">
        <v>81</v>
      </c>
      <c r="H23" s="13">
        <v>76</v>
      </c>
      <c r="I23" s="13">
        <v>83</v>
      </c>
      <c r="J23" s="13">
        <v>83</v>
      </c>
      <c r="K23" s="13">
        <v>83</v>
      </c>
      <c r="L23" s="13">
        <v>82</v>
      </c>
      <c r="M23" s="13">
        <v>81</v>
      </c>
      <c r="N23" s="13">
        <v>80</v>
      </c>
      <c r="O23" s="13">
        <v>80</v>
      </c>
      <c r="P23" s="13">
        <v>83</v>
      </c>
      <c r="Q23" s="13">
        <v>83</v>
      </c>
      <c r="R23" s="13">
        <v>84</v>
      </c>
      <c r="S23" s="13">
        <v>84</v>
      </c>
      <c r="T23" s="13">
        <v>83</v>
      </c>
      <c r="U23" s="13">
        <v>90</v>
      </c>
      <c r="V23" s="13">
        <v>90</v>
      </c>
      <c r="W23" s="13">
        <v>90</v>
      </c>
      <c r="X23" s="13">
        <v>90</v>
      </c>
      <c r="Y23" s="13">
        <v>75</v>
      </c>
      <c r="Z23" s="13">
        <v>75</v>
      </c>
      <c r="AA23" s="13">
        <v>78</v>
      </c>
      <c r="AB23" s="13">
        <v>81</v>
      </c>
      <c r="AC23" s="13">
        <v>84</v>
      </c>
      <c r="AD23" s="13">
        <v>88</v>
      </c>
      <c r="AE23" s="13">
        <v>77</v>
      </c>
      <c r="AF23" s="13">
        <v>78</v>
      </c>
      <c r="AG23" s="13">
        <v>83</v>
      </c>
      <c r="AH23" s="13">
        <v>82</v>
      </c>
      <c r="AI23" s="13">
        <v>82</v>
      </c>
      <c r="AJ23" s="13">
        <v>88</v>
      </c>
      <c r="AK23" s="13">
        <v>82</v>
      </c>
      <c r="AL23" s="13">
        <v>75</v>
      </c>
      <c r="AM23" t="s">
        <v>992</v>
      </c>
      <c r="AN23" t="s">
        <v>992</v>
      </c>
      <c r="AO23" t="s">
        <v>992</v>
      </c>
      <c r="AP23" t="s">
        <v>992</v>
      </c>
      <c r="AQ23" s="13">
        <v>81</v>
      </c>
      <c r="AR23" s="13">
        <v>78</v>
      </c>
      <c r="AS23" s="13">
        <v>80</v>
      </c>
      <c r="AT23" s="13">
        <v>82</v>
      </c>
      <c r="AU23" s="13">
        <v>88</v>
      </c>
      <c r="AV23" s="13">
        <v>84</v>
      </c>
      <c r="AW23" s="13">
        <v>77</v>
      </c>
      <c r="AX23" s="13">
        <v>83</v>
      </c>
      <c r="AY23" s="13">
        <v>83</v>
      </c>
      <c r="AZ23" s="13">
        <v>82</v>
      </c>
      <c r="BA23" s="13">
        <v>82</v>
      </c>
      <c r="BB23" s="13">
        <v>82</v>
      </c>
      <c r="BC23" s="13">
        <v>78</v>
      </c>
      <c r="BD23" s="13">
        <v>75</v>
      </c>
      <c r="BE23" s="13">
        <v>75</v>
      </c>
      <c r="BF23" s="13">
        <v>78</v>
      </c>
      <c r="BG23" s="13">
        <v>75</v>
      </c>
      <c r="BH23" s="13">
        <v>76</v>
      </c>
      <c r="BI23" s="13">
        <v>79</v>
      </c>
      <c r="BJ23" s="13">
        <v>80</v>
      </c>
      <c r="BK23" s="13">
        <v>84</v>
      </c>
      <c r="BL23" s="13">
        <v>88</v>
      </c>
      <c r="BM23" s="13">
        <v>88</v>
      </c>
      <c r="BN23" s="13">
        <v>85</v>
      </c>
      <c r="BO23" s="13">
        <v>88</v>
      </c>
      <c r="BP23" s="13">
        <v>89</v>
      </c>
      <c r="BQ23" s="13">
        <v>82</v>
      </c>
      <c r="BR23" s="13">
        <v>85</v>
      </c>
      <c r="BS23">
        <v>82</v>
      </c>
      <c r="BT23">
        <v>88</v>
      </c>
      <c r="BU23" s="13">
        <v>84</v>
      </c>
      <c r="BV23" s="13">
        <v>88</v>
      </c>
      <c r="BW23" s="13">
        <v>85</v>
      </c>
      <c r="BX23" s="13">
        <v>86</v>
      </c>
      <c r="BY23" s="13">
        <v>82</v>
      </c>
      <c r="BZ23" s="13">
        <v>88</v>
      </c>
      <c r="CA23" s="13">
        <v>80</v>
      </c>
      <c r="CB23" s="13">
        <v>81</v>
      </c>
      <c r="CC23" s="19" t="s">
        <v>1001</v>
      </c>
      <c r="CD23" s="44" t="s">
        <v>1036</v>
      </c>
      <c r="CE23" s="43" t="s">
        <v>1003</v>
      </c>
      <c r="CF23" s="24" t="s">
        <v>996</v>
      </c>
      <c r="CG23" s="24"/>
      <c r="CJ23" s="24"/>
      <c r="CK23" s="13">
        <v>90.3333333333333</v>
      </c>
      <c r="CL23" s="13">
        <v>82</v>
      </c>
      <c r="CM23">
        <v>80</v>
      </c>
      <c r="CN23">
        <v>86</v>
      </c>
      <c r="CO23" s="13">
        <v>82.25</v>
      </c>
      <c r="CP23" s="13">
        <v>86.9166666666667</v>
      </c>
      <c r="CQ23" s="13">
        <f t="shared" si="0"/>
        <v>81.333333333333329</v>
      </c>
      <c r="CR23" s="13">
        <f t="shared" si="1"/>
        <v>81.833333333333329</v>
      </c>
      <c r="CS23" s="13">
        <f t="shared" si="2"/>
        <v>80.166666666666671</v>
      </c>
      <c r="CT23" s="13">
        <f t="shared" si="3"/>
        <v>87.833333333333329</v>
      </c>
      <c r="CU23" s="13">
        <f t="shared" si="4"/>
        <v>81.666666666666671</v>
      </c>
      <c r="CV23" s="13">
        <f t="shared" si="5"/>
        <v>79.5</v>
      </c>
      <c r="CW23" s="13">
        <f t="shared" si="6"/>
        <v>83.5</v>
      </c>
      <c r="CX23" s="13">
        <f t="shared" si="7"/>
        <v>80.5</v>
      </c>
      <c r="CY23" s="13">
        <f t="shared" si="8"/>
        <v>82</v>
      </c>
      <c r="CZ23" s="13">
        <f t="shared" si="9"/>
        <v>82.5</v>
      </c>
      <c r="DA23" s="13">
        <f t="shared" si="10"/>
        <v>80</v>
      </c>
      <c r="DB23" s="13">
        <f t="shared" si="11"/>
        <v>76.5</v>
      </c>
      <c r="DC23" s="13">
        <f t="shared" si="12"/>
        <v>75.5</v>
      </c>
      <c r="DD23" s="13">
        <f t="shared" si="13"/>
        <v>76.5</v>
      </c>
      <c r="DE23" s="13">
        <f t="shared" si="14"/>
        <v>82.75</v>
      </c>
      <c r="DF23" s="13">
        <f t="shared" si="15"/>
        <v>87.5</v>
      </c>
      <c r="DG23" s="13">
        <f t="shared" si="16"/>
        <v>84.25</v>
      </c>
      <c r="DH23" s="13">
        <f t="shared" si="17"/>
        <v>85.25</v>
      </c>
      <c r="DI23" s="13">
        <f t="shared" si="18"/>
        <v>86</v>
      </c>
      <c r="DJ23" s="13">
        <f t="shared" si="19"/>
        <v>78.5</v>
      </c>
      <c r="DK23" s="13">
        <f t="shared" si="20"/>
        <v>81.67916666666666</v>
      </c>
    </row>
    <row r="24" spans="1:115">
      <c r="A24">
        <v>23</v>
      </c>
      <c r="B24">
        <f>'DATA US'!B37</f>
        <v>222310022</v>
      </c>
      <c r="C24" t="str">
        <f>'DATA US'!F37</f>
        <v>BEKASI</v>
      </c>
      <c r="D24" s="37" t="str">
        <f>'DATA US'!G37</f>
        <v>2 Januari 2007</v>
      </c>
      <c r="E24" t="str">
        <f>'DATA US'!C37</f>
        <v>0072510220</v>
      </c>
      <c r="F24" t="str">
        <f>'DATA US'!D37</f>
        <v>MUHAMMAD SATRIA ZAINAL</v>
      </c>
      <c r="G24" s="13">
        <v>81</v>
      </c>
      <c r="H24" s="13">
        <v>81</v>
      </c>
      <c r="I24" s="13">
        <v>86</v>
      </c>
      <c r="J24" s="13">
        <v>84</v>
      </c>
      <c r="K24" s="13">
        <v>84</v>
      </c>
      <c r="L24" s="13">
        <v>85</v>
      </c>
      <c r="M24" s="13">
        <v>86</v>
      </c>
      <c r="N24" s="13">
        <v>85</v>
      </c>
      <c r="O24" s="13">
        <v>85</v>
      </c>
      <c r="P24" s="13">
        <v>85</v>
      </c>
      <c r="Q24" s="13">
        <v>85</v>
      </c>
      <c r="R24" s="13">
        <v>86</v>
      </c>
      <c r="S24" s="13">
        <v>80</v>
      </c>
      <c r="T24" s="13">
        <v>84</v>
      </c>
      <c r="U24" s="13">
        <v>90</v>
      </c>
      <c r="V24" s="13">
        <v>90</v>
      </c>
      <c r="W24" s="13">
        <v>90</v>
      </c>
      <c r="X24" s="13">
        <v>90</v>
      </c>
      <c r="Y24" s="13">
        <v>75</v>
      </c>
      <c r="Z24" s="13">
        <v>84</v>
      </c>
      <c r="AA24" s="13">
        <v>79</v>
      </c>
      <c r="AB24" s="13">
        <v>81</v>
      </c>
      <c r="AC24" s="13">
        <v>85</v>
      </c>
      <c r="AD24" s="13">
        <v>84</v>
      </c>
      <c r="AE24" s="13">
        <v>78</v>
      </c>
      <c r="AF24" s="13">
        <v>78</v>
      </c>
      <c r="AG24" s="13">
        <v>83</v>
      </c>
      <c r="AH24" s="13">
        <v>81</v>
      </c>
      <c r="AI24" s="13">
        <v>82</v>
      </c>
      <c r="AJ24" s="13">
        <v>85</v>
      </c>
      <c r="AK24" s="13">
        <v>85</v>
      </c>
      <c r="AL24" s="13">
        <v>85</v>
      </c>
      <c r="AM24" t="s">
        <v>992</v>
      </c>
      <c r="AN24" t="s">
        <v>992</v>
      </c>
      <c r="AO24" t="s">
        <v>992</v>
      </c>
      <c r="AP24" t="s">
        <v>992</v>
      </c>
      <c r="AQ24" s="13">
        <v>83</v>
      </c>
      <c r="AR24" s="13">
        <v>82</v>
      </c>
      <c r="AS24" s="13">
        <v>80</v>
      </c>
      <c r="AT24" s="13">
        <v>81</v>
      </c>
      <c r="AU24" s="13">
        <v>85</v>
      </c>
      <c r="AV24" s="13">
        <v>85</v>
      </c>
      <c r="AW24" s="13">
        <v>77</v>
      </c>
      <c r="AX24" s="13">
        <v>83</v>
      </c>
      <c r="AY24" s="13">
        <v>84</v>
      </c>
      <c r="AZ24" s="13">
        <v>84</v>
      </c>
      <c r="BA24" s="13">
        <v>83</v>
      </c>
      <c r="BB24" s="13">
        <v>84</v>
      </c>
      <c r="BC24" s="13">
        <v>86</v>
      </c>
      <c r="BD24" s="13">
        <v>88</v>
      </c>
      <c r="BE24" s="13">
        <v>87</v>
      </c>
      <c r="BF24" s="13">
        <v>89</v>
      </c>
      <c r="BG24" s="13">
        <v>75</v>
      </c>
      <c r="BH24" s="13">
        <v>80</v>
      </c>
      <c r="BI24" s="13">
        <v>84</v>
      </c>
      <c r="BJ24" s="13">
        <v>87</v>
      </c>
      <c r="BK24" s="13">
        <v>83</v>
      </c>
      <c r="BL24" s="13">
        <v>85</v>
      </c>
      <c r="BM24" s="13">
        <v>86</v>
      </c>
      <c r="BN24" s="13">
        <v>85</v>
      </c>
      <c r="BO24" s="13">
        <v>88</v>
      </c>
      <c r="BP24" s="13">
        <v>89</v>
      </c>
      <c r="BQ24" s="13">
        <v>83</v>
      </c>
      <c r="BR24" s="13">
        <v>87</v>
      </c>
      <c r="BS24">
        <v>88</v>
      </c>
      <c r="BT24">
        <v>83</v>
      </c>
      <c r="BU24" s="13">
        <v>85</v>
      </c>
      <c r="BV24" s="13">
        <v>90</v>
      </c>
      <c r="BW24" s="13">
        <v>87</v>
      </c>
      <c r="BX24" s="13">
        <v>88</v>
      </c>
      <c r="BY24" s="13">
        <v>81</v>
      </c>
      <c r="BZ24" s="13">
        <v>90</v>
      </c>
      <c r="CA24" s="13">
        <v>85</v>
      </c>
      <c r="CB24" s="13">
        <v>87</v>
      </c>
      <c r="CC24" s="19" t="s">
        <v>997</v>
      </c>
      <c r="CD24" s="19" t="s">
        <v>998</v>
      </c>
      <c r="CE24" s="43" t="s">
        <v>1022</v>
      </c>
      <c r="CF24" s="24" t="s">
        <v>996</v>
      </c>
      <c r="CG24" s="24"/>
      <c r="CJ24" s="24"/>
      <c r="CK24" s="13">
        <v>90.6666666666667</v>
      </c>
      <c r="CL24" s="13">
        <v>84</v>
      </c>
      <c r="CM24">
        <v>80</v>
      </c>
      <c r="CN24">
        <v>86</v>
      </c>
      <c r="CO24" s="13">
        <v>83</v>
      </c>
      <c r="CP24" s="13">
        <v>88.5</v>
      </c>
      <c r="CQ24" s="13">
        <f t="shared" si="0"/>
        <v>83.5</v>
      </c>
      <c r="CR24" s="13">
        <f t="shared" si="1"/>
        <v>85.333333333333329</v>
      </c>
      <c r="CS24" s="13">
        <f t="shared" si="2"/>
        <v>81.333333333333329</v>
      </c>
      <c r="CT24" s="13">
        <f t="shared" si="3"/>
        <v>87.333333333333329</v>
      </c>
      <c r="CU24" s="13">
        <f t="shared" si="4"/>
        <v>81.166666666666671</v>
      </c>
      <c r="CV24" s="13">
        <f t="shared" si="5"/>
        <v>82.5</v>
      </c>
      <c r="CW24" s="13">
        <f t="shared" si="6"/>
        <v>82.75</v>
      </c>
      <c r="CX24" s="13">
        <f t="shared" si="7"/>
        <v>86</v>
      </c>
      <c r="CY24" s="13">
        <f t="shared" si="8"/>
        <v>83.5</v>
      </c>
      <c r="CZ24" s="13">
        <f t="shared" si="9"/>
        <v>84</v>
      </c>
      <c r="DA24" s="13">
        <f t="shared" si="10"/>
        <v>80</v>
      </c>
      <c r="DB24" s="13">
        <f t="shared" si="11"/>
        <v>88</v>
      </c>
      <c r="DC24" s="13">
        <f t="shared" si="12"/>
        <v>77.5</v>
      </c>
      <c r="DD24" s="13">
        <f t="shared" si="13"/>
        <v>87</v>
      </c>
      <c r="DE24" s="13">
        <f t="shared" si="14"/>
        <v>84.75</v>
      </c>
      <c r="DF24" s="13">
        <f t="shared" si="15"/>
        <v>87</v>
      </c>
      <c r="DG24" s="13">
        <f t="shared" si="16"/>
        <v>85.25</v>
      </c>
      <c r="DH24" s="13">
        <f t="shared" si="17"/>
        <v>86.5</v>
      </c>
      <c r="DI24" s="13">
        <f t="shared" si="18"/>
        <v>87.5</v>
      </c>
      <c r="DJ24" s="13">
        <f t="shared" si="19"/>
        <v>85</v>
      </c>
      <c r="DK24" s="13">
        <f t="shared" si="20"/>
        <v>84.29583333333332</v>
      </c>
    </row>
    <row r="25" spans="1:115">
      <c r="A25">
        <v>24</v>
      </c>
      <c r="B25">
        <f>'DATA US'!B38</f>
        <v>222310023</v>
      </c>
      <c r="C25" t="str">
        <f>'DATA US'!F38</f>
        <v>BEKASI</v>
      </c>
      <c r="D25" s="37" t="str">
        <f>'DATA US'!G38</f>
        <v>5 Agustus 2007</v>
      </c>
      <c r="E25" t="str">
        <f>'DATA US'!C38</f>
        <v>0078400677</v>
      </c>
      <c r="F25" t="str">
        <f>'DATA US'!D38</f>
        <v>NAUFAL ASAD</v>
      </c>
      <c r="G25" s="13">
        <v>84</v>
      </c>
      <c r="H25" s="13">
        <v>86</v>
      </c>
      <c r="I25" s="13">
        <v>82</v>
      </c>
      <c r="J25" s="13">
        <v>86</v>
      </c>
      <c r="K25" s="13">
        <v>85</v>
      </c>
      <c r="L25" s="13">
        <v>87</v>
      </c>
      <c r="M25" s="13">
        <v>87</v>
      </c>
      <c r="N25" s="13">
        <v>85</v>
      </c>
      <c r="O25" s="13">
        <v>85</v>
      </c>
      <c r="P25" s="13">
        <v>86</v>
      </c>
      <c r="Q25" s="13">
        <v>85</v>
      </c>
      <c r="R25" s="13">
        <v>87</v>
      </c>
      <c r="S25" s="13">
        <v>78</v>
      </c>
      <c r="T25" s="13">
        <v>83</v>
      </c>
      <c r="U25" s="13">
        <v>90</v>
      </c>
      <c r="V25" s="13">
        <v>90</v>
      </c>
      <c r="W25" s="13">
        <v>90</v>
      </c>
      <c r="X25" s="13">
        <v>90</v>
      </c>
      <c r="Y25" s="13">
        <v>77</v>
      </c>
      <c r="Z25" s="13">
        <v>83</v>
      </c>
      <c r="AA25" s="13">
        <v>82</v>
      </c>
      <c r="AB25" s="13">
        <v>83</v>
      </c>
      <c r="AC25" s="13">
        <v>84</v>
      </c>
      <c r="AD25" s="13">
        <v>84</v>
      </c>
      <c r="AE25" s="13">
        <v>81</v>
      </c>
      <c r="AF25" s="13">
        <v>82</v>
      </c>
      <c r="AG25" s="13">
        <v>82</v>
      </c>
      <c r="AH25" s="13">
        <v>84</v>
      </c>
      <c r="AI25" s="13">
        <v>87</v>
      </c>
      <c r="AJ25" s="13">
        <v>90</v>
      </c>
      <c r="AK25" s="13">
        <v>87</v>
      </c>
      <c r="AL25" s="13">
        <v>90</v>
      </c>
      <c r="AM25" t="s">
        <v>992</v>
      </c>
      <c r="AN25" t="s">
        <v>992</v>
      </c>
      <c r="AO25" t="s">
        <v>992</v>
      </c>
      <c r="AP25" t="s">
        <v>992</v>
      </c>
      <c r="AQ25" s="13">
        <v>83</v>
      </c>
      <c r="AR25" s="13">
        <v>84</v>
      </c>
      <c r="AS25" s="13">
        <v>80</v>
      </c>
      <c r="AT25" s="13">
        <v>82</v>
      </c>
      <c r="AU25" s="13">
        <v>88</v>
      </c>
      <c r="AV25" s="13">
        <v>83</v>
      </c>
      <c r="AW25" s="13">
        <v>79</v>
      </c>
      <c r="AX25" s="13">
        <v>85</v>
      </c>
      <c r="AY25" s="13">
        <v>85</v>
      </c>
      <c r="AZ25" s="13">
        <v>84</v>
      </c>
      <c r="BA25" s="13">
        <v>85</v>
      </c>
      <c r="BB25" s="13">
        <v>86</v>
      </c>
      <c r="BC25" s="13">
        <v>75</v>
      </c>
      <c r="BD25" s="13">
        <v>89</v>
      </c>
      <c r="BE25" s="13">
        <v>75</v>
      </c>
      <c r="BF25" s="13">
        <v>90</v>
      </c>
      <c r="BG25" s="13">
        <v>75</v>
      </c>
      <c r="BH25" s="13">
        <v>81</v>
      </c>
      <c r="BI25" s="13">
        <v>82</v>
      </c>
      <c r="BJ25" s="13">
        <v>84</v>
      </c>
      <c r="BK25" s="13">
        <v>83</v>
      </c>
      <c r="BL25" s="13">
        <v>87</v>
      </c>
      <c r="BM25" s="13">
        <v>84</v>
      </c>
      <c r="BN25" s="13">
        <v>86</v>
      </c>
      <c r="BO25" s="13">
        <v>89</v>
      </c>
      <c r="BP25" s="13">
        <v>90</v>
      </c>
      <c r="BQ25" s="13">
        <v>85</v>
      </c>
      <c r="BR25" s="13">
        <v>85</v>
      </c>
      <c r="BS25">
        <v>88</v>
      </c>
      <c r="BT25">
        <v>87</v>
      </c>
      <c r="BU25" s="13">
        <v>83</v>
      </c>
      <c r="BV25" s="13">
        <v>90</v>
      </c>
      <c r="BW25" s="13">
        <v>87</v>
      </c>
      <c r="BX25" s="13">
        <v>88</v>
      </c>
      <c r="BY25" s="13">
        <v>82</v>
      </c>
      <c r="BZ25" s="13">
        <v>90</v>
      </c>
      <c r="CA25" s="13">
        <v>85</v>
      </c>
      <c r="CB25" s="13">
        <v>87</v>
      </c>
      <c r="CC25" s="19" t="s">
        <v>1005</v>
      </c>
      <c r="CD25" s="19" t="s">
        <v>994</v>
      </c>
      <c r="CE25" s="43" t="s">
        <v>1009</v>
      </c>
      <c r="CF25" s="24" t="s">
        <v>1000</v>
      </c>
      <c r="CG25" s="19" t="s">
        <v>1010</v>
      </c>
      <c r="CH25" s="19" t="s">
        <v>1011</v>
      </c>
      <c r="CI25" s="19" t="s">
        <v>1037</v>
      </c>
      <c r="CJ25" s="24" t="s">
        <v>1000</v>
      </c>
      <c r="CK25" s="13">
        <v>91.3333333333333</v>
      </c>
      <c r="CL25" s="13">
        <v>88.3333333333333</v>
      </c>
      <c r="CM25">
        <v>90</v>
      </c>
      <c r="CN25">
        <v>87</v>
      </c>
      <c r="CO25" s="13">
        <v>83</v>
      </c>
      <c r="CP25" s="13">
        <v>85.7777777777778</v>
      </c>
      <c r="CQ25" s="13">
        <f t="shared" si="0"/>
        <v>85</v>
      </c>
      <c r="CR25" s="13">
        <f t="shared" si="1"/>
        <v>85.833333333333329</v>
      </c>
      <c r="CS25" s="13">
        <f t="shared" si="2"/>
        <v>82.166666666666671</v>
      </c>
      <c r="CT25" s="13">
        <f t="shared" si="3"/>
        <v>86.833333333333329</v>
      </c>
      <c r="CU25" s="13">
        <f t="shared" si="4"/>
        <v>84.333333333333329</v>
      </c>
      <c r="CV25" s="13">
        <f t="shared" si="5"/>
        <v>83.5</v>
      </c>
      <c r="CW25" s="13">
        <f t="shared" si="6"/>
        <v>83.25</v>
      </c>
      <c r="CX25" s="13">
        <f t="shared" si="7"/>
        <v>86</v>
      </c>
      <c r="CY25" s="13">
        <f t="shared" si="8"/>
        <v>85.5</v>
      </c>
      <c r="CZ25" s="13">
        <f t="shared" si="9"/>
        <v>84.5</v>
      </c>
      <c r="DA25" s="13">
        <f t="shared" si="10"/>
        <v>82</v>
      </c>
      <c r="DB25" s="13">
        <f t="shared" si="11"/>
        <v>82.5</v>
      </c>
      <c r="DC25" s="13">
        <f t="shared" si="12"/>
        <v>78</v>
      </c>
      <c r="DD25" s="13">
        <f t="shared" si="13"/>
        <v>82</v>
      </c>
      <c r="DE25" s="13">
        <f t="shared" si="14"/>
        <v>84</v>
      </c>
      <c r="DF25" s="13">
        <f t="shared" si="15"/>
        <v>87.25</v>
      </c>
      <c r="DG25" s="13">
        <f t="shared" si="16"/>
        <v>86.25</v>
      </c>
      <c r="DH25" s="13">
        <f t="shared" si="17"/>
        <v>86.75</v>
      </c>
      <c r="DI25" s="13">
        <f t="shared" si="18"/>
        <v>86.5</v>
      </c>
      <c r="DJ25" s="13">
        <f t="shared" si="19"/>
        <v>88.5</v>
      </c>
      <c r="DK25" s="13">
        <f t="shared" si="20"/>
        <v>84.533333333333331</v>
      </c>
    </row>
    <row r="26" spans="1:115">
      <c r="A26">
        <v>25</v>
      </c>
      <c r="B26">
        <f>'DATA US'!B39</f>
        <v>222310147</v>
      </c>
      <c r="C26" t="str">
        <f>'DATA US'!F39</f>
        <v>BEKASI</v>
      </c>
      <c r="D26" s="37" t="str">
        <f>'DATA US'!G39</f>
        <v>23 Agustus 2006</v>
      </c>
      <c r="E26" t="str">
        <f>'DATA US'!C39</f>
        <v>0061172472</v>
      </c>
      <c r="F26" t="str">
        <f>'DATA US'!D39</f>
        <v>PAHRUDIN HIDAYAT</v>
      </c>
      <c r="G26">
        <v>76</v>
      </c>
      <c r="H26">
        <v>77</v>
      </c>
      <c r="I26" s="13">
        <v>84</v>
      </c>
      <c r="J26" s="13">
        <v>81</v>
      </c>
      <c r="K26" s="13">
        <v>83</v>
      </c>
      <c r="L26" s="13">
        <v>83</v>
      </c>
      <c r="M26">
        <v>76</v>
      </c>
      <c r="N26">
        <v>77</v>
      </c>
      <c r="O26" s="13">
        <v>78</v>
      </c>
      <c r="P26" s="13">
        <v>83</v>
      </c>
      <c r="Q26" s="13">
        <v>81</v>
      </c>
      <c r="R26" s="13">
        <v>83</v>
      </c>
      <c r="S26">
        <v>76</v>
      </c>
      <c r="T26">
        <v>77</v>
      </c>
      <c r="U26" s="13">
        <v>78</v>
      </c>
      <c r="V26" s="13">
        <v>80</v>
      </c>
      <c r="W26" s="13">
        <v>80</v>
      </c>
      <c r="X26" s="13">
        <v>83</v>
      </c>
      <c r="Y26">
        <v>76</v>
      </c>
      <c r="Z26">
        <v>77</v>
      </c>
      <c r="AA26" s="13">
        <v>78</v>
      </c>
      <c r="AB26" s="13">
        <v>79</v>
      </c>
      <c r="AC26" s="13">
        <v>88</v>
      </c>
      <c r="AD26" s="13">
        <v>83</v>
      </c>
      <c r="AE26">
        <v>76</v>
      </c>
      <c r="AF26">
        <v>77</v>
      </c>
      <c r="AG26" s="13">
        <v>80</v>
      </c>
      <c r="AH26" s="13">
        <v>82</v>
      </c>
      <c r="AI26" s="13">
        <v>82</v>
      </c>
      <c r="AJ26" s="13">
        <v>82</v>
      </c>
      <c r="AK26">
        <v>76</v>
      </c>
      <c r="AL26">
        <v>77</v>
      </c>
      <c r="AM26" t="s">
        <v>992</v>
      </c>
      <c r="AN26" t="s">
        <v>992</v>
      </c>
      <c r="AO26" t="s">
        <v>992</v>
      </c>
      <c r="AP26" t="s">
        <v>992</v>
      </c>
      <c r="AQ26">
        <v>76</v>
      </c>
      <c r="AR26">
        <v>77</v>
      </c>
      <c r="AS26">
        <v>77</v>
      </c>
      <c r="AT26">
        <v>80</v>
      </c>
      <c r="AU26" s="13">
        <v>85</v>
      </c>
      <c r="AV26" s="13">
        <v>84</v>
      </c>
      <c r="AW26">
        <v>76</v>
      </c>
      <c r="AX26">
        <v>77</v>
      </c>
      <c r="AY26">
        <v>75</v>
      </c>
      <c r="AZ26">
        <v>76</v>
      </c>
      <c r="BA26">
        <v>75</v>
      </c>
      <c r="BB26">
        <v>76</v>
      </c>
      <c r="BC26">
        <v>75</v>
      </c>
      <c r="BD26">
        <v>76</v>
      </c>
      <c r="BE26">
        <v>75</v>
      </c>
      <c r="BF26">
        <v>76</v>
      </c>
      <c r="BG26">
        <v>75</v>
      </c>
      <c r="BH26">
        <v>76</v>
      </c>
      <c r="BI26" s="13">
        <v>78</v>
      </c>
      <c r="BJ26" s="13">
        <v>78</v>
      </c>
      <c r="BK26" s="13">
        <v>83</v>
      </c>
      <c r="BL26" s="13">
        <v>88</v>
      </c>
      <c r="BM26" s="13">
        <v>84</v>
      </c>
      <c r="BN26" s="13">
        <v>79</v>
      </c>
      <c r="BO26" s="13">
        <v>87</v>
      </c>
      <c r="BP26" s="13">
        <v>88</v>
      </c>
      <c r="BQ26" s="13">
        <v>78</v>
      </c>
      <c r="BR26" s="13">
        <v>81</v>
      </c>
      <c r="BS26">
        <v>84</v>
      </c>
      <c r="BT26">
        <v>88</v>
      </c>
      <c r="BU26" s="13">
        <v>80</v>
      </c>
      <c r="BV26" s="13">
        <v>86</v>
      </c>
      <c r="BW26" s="13">
        <v>83</v>
      </c>
      <c r="BX26" s="13">
        <v>84</v>
      </c>
      <c r="BY26" s="13">
        <v>81</v>
      </c>
      <c r="BZ26" s="13">
        <v>86</v>
      </c>
      <c r="CA26" s="13">
        <v>77</v>
      </c>
      <c r="CB26" s="13">
        <v>81</v>
      </c>
      <c r="CC26" s="296" t="s">
        <v>1261</v>
      </c>
      <c r="CD26" s="296" t="s">
        <v>1262</v>
      </c>
      <c r="CE26" s="297" t="s">
        <v>1263</v>
      </c>
      <c r="CF26" s="24" t="s">
        <v>996</v>
      </c>
      <c r="CJ26" s="24"/>
      <c r="CK26" s="13">
        <v>87.6666666666667</v>
      </c>
      <c r="CL26" s="13">
        <v>81.3333333333333</v>
      </c>
      <c r="CM26">
        <v>81</v>
      </c>
      <c r="CN26">
        <v>85</v>
      </c>
      <c r="CO26" s="13">
        <v>82</v>
      </c>
      <c r="CP26" s="13">
        <v>86.9444444444444</v>
      </c>
      <c r="CQ26" s="13">
        <f t="shared" si="0"/>
        <v>80.666666666666671</v>
      </c>
      <c r="CR26" s="13">
        <f t="shared" si="1"/>
        <v>79.666666666666671</v>
      </c>
      <c r="CS26" s="13">
        <f t="shared" si="2"/>
        <v>80.166666666666671</v>
      </c>
      <c r="CT26" s="13">
        <f t="shared" si="3"/>
        <v>79</v>
      </c>
      <c r="CU26" s="13">
        <f t="shared" si="4"/>
        <v>79.833333333333329</v>
      </c>
      <c r="CV26" s="13">
        <f t="shared" si="5"/>
        <v>76.5</v>
      </c>
      <c r="CW26" s="13">
        <f t="shared" si="6"/>
        <v>81.5</v>
      </c>
      <c r="CX26" s="13">
        <f t="shared" si="7"/>
        <v>79</v>
      </c>
      <c r="CY26" s="13">
        <f t="shared" si="8"/>
        <v>75.5</v>
      </c>
      <c r="CZ26" s="13">
        <f t="shared" si="9"/>
        <v>75.5</v>
      </c>
      <c r="DA26" s="13">
        <f t="shared" si="10"/>
        <v>76.5</v>
      </c>
      <c r="DB26" s="13">
        <f t="shared" si="11"/>
        <v>75.5</v>
      </c>
      <c r="DC26" s="13">
        <f t="shared" si="12"/>
        <v>75.5</v>
      </c>
      <c r="DD26" s="13">
        <f t="shared" si="13"/>
        <v>75.5</v>
      </c>
      <c r="DE26" s="13">
        <f t="shared" si="14"/>
        <v>81.75</v>
      </c>
      <c r="DF26" s="13">
        <f t="shared" si="15"/>
        <v>84.5</v>
      </c>
      <c r="DG26" s="13">
        <f t="shared" si="16"/>
        <v>82.75</v>
      </c>
      <c r="DH26" s="13">
        <f t="shared" si="17"/>
        <v>83.5</v>
      </c>
      <c r="DI26" s="13">
        <f t="shared" si="18"/>
        <v>83</v>
      </c>
      <c r="DJ26" s="13">
        <f t="shared" si="19"/>
        <v>76.5</v>
      </c>
      <c r="DK26" s="13">
        <f t="shared" si="20"/>
        <v>79.11666666666666</v>
      </c>
    </row>
    <row r="27" spans="1:115">
      <c r="A27">
        <v>26</v>
      </c>
      <c r="B27">
        <f>'DATA US'!B40</f>
        <v>222310024</v>
      </c>
      <c r="C27" t="str">
        <f>'DATA US'!F40</f>
        <v>BEKASI</v>
      </c>
      <c r="D27" s="37" t="str">
        <f>'DATA US'!G40</f>
        <v>5 Maret 2007</v>
      </c>
      <c r="E27" t="str">
        <f>'DATA US'!C40</f>
        <v>0071750896</v>
      </c>
      <c r="F27" t="str">
        <f>'DATA US'!D40</f>
        <v>RAFA ARDIANSYAH</v>
      </c>
      <c r="G27" s="13">
        <v>76</v>
      </c>
      <c r="H27" s="13">
        <v>77</v>
      </c>
      <c r="I27" s="13">
        <v>80</v>
      </c>
      <c r="J27" s="13">
        <v>81</v>
      </c>
      <c r="K27" s="13">
        <v>82</v>
      </c>
      <c r="L27" s="13">
        <v>83</v>
      </c>
      <c r="M27" s="13">
        <v>76</v>
      </c>
      <c r="N27" s="13">
        <v>78</v>
      </c>
      <c r="O27" s="13">
        <v>78</v>
      </c>
      <c r="P27" s="13">
        <v>81</v>
      </c>
      <c r="Q27" s="13">
        <v>81</v>
      </c>
      <c r="R27" s="13">
        <v>83</v>
      </c>
      <c r="S27" s="13">
        <v>78</v>
      </c>
      <c r="T27" s="13">
        <v>76</v>
      </c>
      <c r="U27" s="13">
        <v>78</v>
      </c>
      <c r="V27" s="13">
        <v>80</v>
      </c>
      <c r="W27" s="13">
        <v>80</v>
      </c>
      <c r="X27" s="13">
        <v>83</v>
      </c>
      <c r="Y27" s="13">
        <v>75</v>
      </c>
      <c r="Z27" s="13">
        <v>79</v>
      </c>
      <c r="AA27" s="13">
        <v>78</v>
      </c>
      <c r="AB27" s="13">
        <v>79</v>
      </c>
      <c r="AC27" s="13">
        <v>81</v>
      </c>
      <c r="AD27" s="13">
        <v>85</v>
      </c>
      <c r="AE27" s="13">
        <v>75</v>
      </c>
      <c r="AF27" s="13">
        <v>75</v>
      </c>
      <c r="AG27" s="13">
        <v>79</v>
      </c>
      <c r="AH27" s="13">
        <v>79</v>
      </c>
      <c r="AI27" s="13">
        <v>83</v>
      </c>
      <c r="AJ27" s="13">
        <v>85</v>
      </c>
      <c r="AK27" s="13">
        <v>80</v>
      </c>
      <c r="AL27" s="13">
        <v>77</v>
      </c>
      <c r="AM27" t="s">
        <v>992</v>
      </c>
      <c r="AN27" t="s">
        <v>992</v>
      </c>
      <c r="AO27" t="s">
        <v>992</v>
      </c>
      <c r="AP27" t="s">
        <v>992</v>
      </c>
      <c r="AQ27" s="13">
        <v>80</v>
      </c>
      <c r="AR27" s="13">
        <v>76</v>
      </c>
      <c r="AS27" s="13">
        <v>77</v>
      </c>
      <c r="AT27" s="13">
        <v>83</v>
      </c>
      <c r="AU27" s="13">
        <v>84</v>
      </c>
      <c r="AV27" s="13">
        <v>81</v>
      </c>
      <c r="AW27" s="13">
        <v>78</v>
      </c>
      <c r="AX27" s="13">
        <v>80</v>
      </c>
      <c r="AY27" s="13">
        <v>80</v>
      </c>
      <c r="AZ27" s="13">
        <v>80</v>
      </c>
      <c r="BA27" s="13">
        <v>81</v>
      </c>
      <c r="BB27" s="13">
        <v>82</v>
      </c>
      <c r="BC27" s="13">
        <v>75</v>
      </c>
      <c r="BD27" s="13">
        <v>75</v>
      </c>
      <c r="BE27" s="13">
        <v>75</v>
      </c>
      <c r="BF27" s="13">
        <v>77</v>
      </c>
      <c r="BG27" s="13">
        <v>75</v>
      </c>
      <c r="BH27" s="13">
        <v>75</v>
      </c>
      <c r="BI27" s="13">
        <v>78</v>
      </c>
      <c r="BJ27" s="13">
        <v>79</v>
      </c>
      <c r="BK27" s="13">
        <v>84</v>
      </c>
      <c r="BL27" s="13">
        <v>84</v>
      </c>
      <c r="BM27" s="13">
        <v>78</v>
      </c>
      <c r="BN27" s="13">
        <v>79</v>
      </c>
      <c r="BO27" s="13">
        <v>85</v>
      </c>
      <c r="BP27">
        <v>86</v>
      </c>
      <c r="BQ27" s="13">
        <v>78</v>
      </c>
      <c r="BR27" s="13">
        <v>86</v>
      </c>
      <c r="BS27">
        <v>85</v>
      </c>
      <c r="BT27">
        <v>84</v>
      </c>
      <c r="BU27" s="13">
        <v>80</v>
      </c>
      <c r="BV27" s="13">
        <v>85</v>
      </c>
      <c r="BW27" s="13">
        <v>83</v>
      </c>
      <c r="BX27" s="13">
        <v>83</v>
      </c>
      <c r="BY27" s="13">
        <v>81</v>
      </c>
      <c r="BZ27" s="13">
        <v>85</v>
      </c>
      <c r="CA27">
        <v>77</v>
      </c>
      <c r="CB27">
        <v>81</v>
      </c>
      <c r="CC27" s="296" t="s">
        <v>1261</v>
      </c>
      <c r="CD27" s="296" t="s">
        <v>1262</v>
      </c>
      <c r="CE27" s="297" t="s">
        <v>1263</v>
      </c>
      <c r="CF27" s="24" t="s">
        <v>996</v>
      </c>
      <c r="CJ27" s="24"/>
      <c r="CK27" s="13">
        <v>90</v>
      </c>
      <c r="CL27" s="13">
        <v>82.6666666666667</v>
      </c>
      <c r="CM27">
        <v>80</v>
      </c>
      <c r="CN27">
        <v>80</v>
      </c>
      <c r="CO27" s="13">
        <v>80.5</v>
      </c>
      <c r="CP27" s="13">
        <v>84.9444444444445</v>
      </c>
      <c r="CQ27" s="13">
        <f t="shared" si="0"/>
        <v>79.833333333333329</v>
      </c>
      <c r="CR27" s="13">
        <f t="shared" si="1"/>
        <v>79.5</v>
      </c>
      <c r="CS27" s="13">
        <f t="shared" si="2"/>
        <v>79.5</v>
      </c>
      <c r="CT27" s="13">
        <f t="shared" si="3"/>
        <v>79.166666666666671</v>
      </c>
      <c r="CU27" s="13">
        <f t="shared" si="4"/>
        <v>79.333333333333329</v>
      </c>
      <c r="CV27" s="13">
        <f t="shared" si="5"/>
        <v>78</v>
      </c>
      <c r="CW27" s="13">
        <f t="shared" si="6"/>
        <v>81.25</v>
      </c>
      <c r="CX27" s="13">
        <f t="shared" si="7"/>
        <v>79</v>
      </c>
      <c r="CY27" s="13">
        <f t="shared" si="8"/>
        <v>81.5</v>
      </c>
      <c r="CZ27" s="13">
        <f t="shared" si="9"/>
        <v>80</v>
      </c>
      <c r="DA27" s="13">
        <f t="shared" si="10"/>
        <v>79</v>
      </c>
      <c r="DB27" s="13">
        <f t="shared" si="11"/>
        <v>76</v>
      </c>
      <c r="DC27" s="13">
        <f t="shared" si="12"/>
        <v>75</v>
      </c>
      <c r="DD27" s="13">
        <f t="shared" si="13"/>
        <v>75</v>
      </c>
      <c r="DE27" s="13">
        <f t="shared" si="14"/>
        <v>81.25</v>
      </c>
      <c r="DF27" s="13">
        <f t="shared" si="15"/>
        <v>82</v>
      </c>
      <c r="DG27" s="13">
        <f t="shared" si="16"/>
        <v>83.25</v>
      </c>
      <c r="DH27" s="13">
        <f t="shared" si="17"/>
        <v>83</v>
      </c>
      <c r="DI27" s="13">
        <f t="shared" si="18"/>
        <v>82.5</v>
      </c>
      <c r="DJ27" s="13">
        <f t="shared" si="19"/>
        <v>78.5</v>
      </c>
      <c r="DK27" s="13">
        <f t="shared" si="20"/>
        <v>79.629166666666663</v>
      </c>
    </row>
    <row r="28" spans="1:115" ht="15.6">
      <c r="A28">
        <v>27</v>
      </c>
      <c r="B28">
        <f>'DATA US'!B41</f>
        <v>222310025</v>
      </c>
      <c r="C28" t="str">
        <f>'DATA US'!F41</f>
        <v>SRAGEN</v>
      </c>
      <c r="D28" s="37" t="str">
        <f>'DATA US'!G41</f>
        <v>02 Mei 2007</v>
      </c>
      <c r="E28" t="str">
        <f>'DATA US'!C41</f>
        <v>0064628744</v>
      </c>
      <c r="F28" t="str">
        <f>'DATA US'!D41</f>
        <v>ROY TANSRI ARTAMA</v>
      </c>
      <c r="G28" s="13">
        <v>75</v>
      </c>
      <c r="H28" s="13">
        <v>76</v>
      </c>
      <c r="I28" s="13">
        <v>83</v>
      </c>
      <c r="J28" s="13">
        <v>82</v>
      </c>
      <c r="K28" s="13">
        <v>84</v>
      </c>
      <c r="L28" s="13">
        <v>85</v>
      </c>
      <c r="M28" s="13">
        <v>76</v>
      </c>
      <c r="N28" s="13">
        <v>78</v>
      </c>
      <c r="O28" s="13">
        <v>80</v>
      </c>
      <c r="P28" s="13">
        <v>82</v>
      </c>
      <c r="Q28" s="13">
        <v>81</v>
      </c>
      <c r="R28" s="13">
        <v>84</v>
      </c>
      <c r="S28" s="13">
        <v>78</v>
      </c>
      <c r="T28" s="13">
        <v>76</v>
      </c>
      <c r="U28" s="13">
        <v>83</v>
      </c>
      <c r="V28" s="13">
        <v>85</v>
      </c>
      <c r="W28" s="13">
        <v>88</v>
      </c>
      <c r="X28" s="13">
        <v>88</v>
      </c>
      <c r="Y28" s="13">
        <v>75</v>
      </c>
      <c r="Z28">
        <v>75</v>
      </c>
      <c r="AA28" s="13">
        <v>78</v>
      </c>
      <c r="AB28" s="13">
        <v>79</v>
      </c>
      <c r="AC28" s="13">
        <v>82</v>
      </c>
      <c r="AD28" s="13">
        <v>81</v>
      </c>
      <c r="AE28" s="13">
        <v>75</v>
      </c>
      <c r="AF28" s="13">
        <v>66</v>
      </c>
      <c r="AG28" s="13">
        <v>79</v>
      </c>
      <c r="AH28" s="13">
        <v>81</v>
      </c>
      <c r="AI28" s="13">
        <v>82</v>
      </c>
      <c r="AJ28" s="13">
        <v>85</v>
      </c>
      <c r="AK28" s="13">
        <v>77</v>
      </c>
      <c r="AL28" s="13">
        <v>75</v>
      </c>
      <c r="AM28" t="s">
        <v>992</v>
      </c>
      <c r="AN28" t="s">
        <v>992</v>
      </c>
      <c r="AO28" t="s">
        <v>992</v>
      </c>
      <c r="AP28" t="s">
        <v>992</v>
      </c>
      <c r="AQ28" s="13">
        <v>79</v>
      </c>
      <c r="AR28" s="13">
        <v>76</v>
      </c>
      <c r="AS28" s="13">
        <v>77</v>
      </c>
      <c r="AT28" s="13">
        <v>82</v>
      </c>
      <c r="AU28" s="13">
        <v>84</v>
      </c>
      <c r="AV28" s="13">
        <v>82</v>
      </c>
      <c r="AW28" s="13">
        <v>76</v>
      </c>
      <c r="AX28" s="13">
        <v>80</v>
      </c>
      <c r="AY28" s="13">
        <v>81</v>
      </c>
      <c r="AZ28" s="13">
        <v>81</v>
      </c>
      <c r="BA28" s="13">
        <v>82</v>
      </c>
      <c r="BB28" s="13">
        <v>82</v>
      </c>
      <c r="BC28">
        <v>80</v>
      </c>
      <c r="BD28" s="13">
        <v>77</v>
      </c>
      <c r="BE28" s="13">
        <v>75</v>
      </c>
      <c r="BF28" s="13">
        <v>76</v>
      </c>
      <c r="BG28" s="13">
        <v>75</v>
      </c>
      <c r="BH28" s="13">
        <v>75</v>
      </c>
      <c r="BI28" s="13">
        <v>78</v>
      </c>
      <c r="BJ28" s="13">
        <v>79</v>
      </c>
      <c r="BK28" s="13">
        <v>83</v>
      </c>
      <c r="BL28" s="13">
        <v>83</v>
      </c>
      <c r="BM28" s="13">
        <v>81</v>
      </c>
      <c r="BN28" s="13">
        <v>86</v>
      </c>
      <c r="BO28" s="13">
        <v>89</v>
      </c>
      <c r="BP28" s="13">
        <v>90</v>
      </c>
      <c r="BQ28" s="13">
        <v>78</v>
      </c>
      <c r="BR28" s="13">
        <v>84</v>
      </c>
      <c r="BS28">
        <v>84</v>
      </c>
      <c r="BT28">
        <v>82</v>
      </c>
      <c r="BU28" s="13">
        <v>89</v>
      </c>
      <c r="BV28" s="13">
        <v>86</v>
      </c>
      <c r="BW28" s="13">
        <v>83</v>
      </c>
      <c r="BX28" s="13">
        <v>84</v>
      </c>
      <c r="BY28" s="13">
        <v>84</v>
      </c>
      <c r="BZ28" s="13">
        <v>86</v>
      </c>
      <c r="CA28" s="13">
        <v>76</v>
      </c>
      <c r="CB28" s="13">
        <v>80</v>
      </c>
      <c r="CC28" s="19" t="s">
        <v>1001</v>
      </c>
      <c r="CD28" s="44" t="s">
        <v>1036</v>
      </c>
      <c r="CE28" s="43" t="s">
        <v>1019</v>
      </c>
      <c r="CF28" s="23" t="s">
        <v>996</v>
      </c>
      <c r="CJ28" s="23"/>
      <c r="CK28" s="13">
        <v>90</v>
      </c>
      <c r="CL28" s="13">
        <v>83</v>
      </c>
      <c r="CM28">
        <v>81</v>
      </c>
      <c r="CN28">
        <v>86</v>
      </c>
      <c r="CO28" s="13">
        <v>82.25</v>
      </c>
      <c r="CP28" s="13">
        <v>84.8333333333333</v>
      </c>
      <c r="CQ28" s="13">
        <f t="shared" si="0"/>
        <v>80.833333333333329</v>
      </c>
      <c r="CR28" s="13">
        <f t="shared" si="1"/>
        <v>80.166666666666671</v>
      </c>
      <c r="CS28" s="13">
        <f t="shared" si="2"/>
        <v>78.333333333333329</v>
      </c>
      <c r="CT28" s="13">
        <f t="shared" si="3"/>
        <v>83</v>
      </c>
      <c r="CU28" s="13">
        <f t="shared" si="4"/>
        <v>78</v>
      </c>
      <c r="CV28" s="13">
        <f t="shared" si="5"/>
        <v>77.5</v>
      </c>
      <c r="CW28" s="13">
        <f t="shared" si="6"/>
        <v>81.25</v>
      </c>
      <c r="CX28" s="13">
        <f t="shared" si="7"/>
        <v>78</v>
      </c>
      <c r="CY28" s="13">
        <f t="shared" si="8"/>
        <v>82</v>
      </c>
      <c r="CZ28" s="13">
        <f t="shared" si="9"/>
        <v>81</v>
      </c>
      <c r="DA28" s="13">
        <f t="shared" si="10"/>
        <v>78</v>
      </c>
      <c r="DB28" s="13">
        <f t="shared" si="11"/>
        <v>75.5</v>
      </c>
      <c r="DC28" s="13">
        <f t="shared" si="12"/>
        <v>75</v>
      </c>
      <c r="DD28" s="13">
        <f t="shared" si="13"/>
        <v>78.5</v>
      </c>
      <c r="DE28" s="13">
        <f t="shared" si="14"/>
        <v>80.75</v>
      </c>
      <c r="DF28" s="13">
        <f t="shared" si="15"/>
        <v>86.5</v>
      </c>
      <c r="DG28" s="13">
        <f t="shared" si="16"/>
        <v>82</v>
      </c>
      <c r="DH28" s="13">
        <f t="shared" si="17"/>
        <v>84.25</v>
      </c>
      <c r="DI28" s="13">
        <f t="shared" si="18"/>
        <v>87.5</v>
      </c>
      <c r="DJ28" s="13">
        <f t="shared" si="19"/>
        <v>76</v>
      </c>
      <c r="DK28" s="13">
        <f t="shared" si="20"/>
        <v>80.204166666666666</v>
      </c>
    </row>
    <row r="29" spans="1:115" ht="15.6">
      <c r="A29">
        <v>28</v>
      </c>
      <c r="B29">
        <f>'DATA US'!B42</f>
        <v>222310026</v>
      </c>
      <c r="C29" t="str">
        <f>'DATA US'!F42</f>
        <v>TANGGERANG</v>
      </c>
      <c r="D29" s="37" t="str">
        <f>'DATA US'!G42</f>
        <v>23 Januari 2007</v>
      </c>
      <c r="E29" t="str">
        <f>'DATA US'!C42</f>
        <v>0071829562</v>
      </c>
      <c r="F29" t="str">
        <f>'DATA US'!D42</f>
        <v>SATRYO PASHA RAMANDA</v>
      </c>
      <c r="G29" s="13">
        <v>83</v>
      </c>
      <c r="H29" s="13">
        <v>79</v>
      </c>
      <c r="I29" s="13">
        <v>85</v>
      </c>
      <c r="J29" s="13">
        <v>83</v>
      </c>
      <c r="K29" s="13">
        <v>84</v>
      </c>
      <c r="L29" s="13">
        <v>85</v>
      </c>
      <c r="M29" s="13">
        <v>79</v>
      </c>
      <c r="N29" s="13">
        <v>84</v>
      </c>
      <c r="O29" s="13">
        <v>83</v>
      </c>
      <c r="P29" s="13">
        <v>84</v>
      </c>
      <c r="Q29" s="13">
        <v>83</v>
      </c>
      <c r="R29" s="13">
        <v>86</v>
      </c>
      <c r="S29" s="13">
        <v>84</v>
      </c>
      <c r="T29" s="13">
        <v>83</v>
      </c>
      <c r="U29" s="13">
        <v>90</v>
      </c>
      <c r="V29" s="13">
        <v>90</v>
      </c>
      <c r="W29" s="13">
        <v>90</v>
      </c>
      <c r="X29" s="13">
        <v>90</v>
      </c>
      <c r="Y29" s="13">
        <v>75</v>
      </c>
      <c r="Z29" s="13">
        <v>75</v>
      </c>
      <c r="AA29" s="13">
        <v>78</v>
      </c>
      <c r="AB29" s="13">
        <v>84</v>
      </c>
      <c r="AC29" s="13">
        <v>82</v>
      </c>
      <c r="AD29" s="13">
        <v>87</v>
      </c>
      <c r="AE29" s="13">
        <v>81</v>
      </c>
      <c r="AF29" s="13">
        <v>77</v>
      </c>
      <c r="AG29" s="13">
        <v>83</v>
      </c>
      <c r="AH29" s="13">
        <v>82</v>
      </c>
      <c r="AI29" s="13">
        <v>82</v>
      </c>
      <c r="AJ29" s="13">
        <v>85</v>
      </c>
      <c r="AK29" s="13">
        <v>85</v>
      </c>
      <c r="AL29" s="13">
        <v>85</v>
      </c>
      <c r="AM29" t="s">
        <v>992</v>
      </c>
      <c r="AN29" t="s">
        <v>992</v>
      </c>
      <c r="AO29" t="s">
        <v>992</v>
      </c>
      <c r="AP29" t="s">
        <v>992</v>
      </c>
      <c r="AQ29" s="13">
        <v>81</v>
      </c>
      <c r="AR29" s="13">
        <v>80</v>
      </c>
      <c r="AS29" s="13">
        <v>80</v>
      </c>
      <c r="AT29" s="13">
        <v>82</v>
      </c>
      <c r="AU29" s="13">
        <v>85</v>
      </c>
      <c r="AV29" s="13">
        <v>84</v>
      </c>
      <c r="AW29" s="13">
        <v>78</v>
      </c>
      <c r="AX29" s="13">
        <v>85</v>
      </c>
      <c r="AY29" s="13">
        <v>84</v>
      </c>
      <c r="AZ29" s="13">
        <v>84</v>
      </c>
      <c r="BA29" s="13">
        <v>83</v>
      </c>
      <c r="BB29" s="13">
        <v>84</v>
      </c>
      <c r="BC29" s="13">
        <v>89</v>
      </c>
      <c r="BD29" s="13">
        <v>80</v>
      </c>
      <c r="BE29" s="13">
        <v>81</v>
      </c>
      <c r="BF29" s="13">
        <v>81</v>
      </c>
      <c r="BG29" s="13">
        <v>75</v>
      </c>
      <c r="BH29" s="13">
        <v>75</v>
      </c>
      <c r="BI29" s="13">
        <v>79</v>
      </c>
      <c r="BJ29" s="13">
        <v>82</v>
      </c>
      <c r="BK29" s="13">
        <v>84</v>
      </c>
      <c r="BL29" s="13">
        <v>82</v>
      </c>
      <c r="BM29" s="13">
        <v>83</v>
      </c>
      <c r="BN29" s="13">
        <v>85</v>
      </c>
      <c r="BO29" s="13">
        <v>88</v>
      </c>
      <c r="BP29" s="13">
        <v>89</v>
      </c>
      <c r="BQ29" s="13">
        <v>82</v>
      </c>
      <c r="BR29" s="13">
        <v>86</v>
      </c>
      <c r="BS29">
        <v>83</v>
      </c>
      <c r="BT29">
        <v>83</v>
      </c>
      <c r="BU29" s="13">
        <v>87</v>
      </c>
      <c r="BV29" s="13">
        <v>88</v>
      </c>
      <c r="BW29" s="13">
        <v>86</v>
      </c>
      <c r="BX29" s="13">
        <v>86</v>
      </c>
      <c r="BY29" s="13">
        <v>81</v>
      </c>
      <c r="BZ29" s="13">
        <v>88</v>
      </c>
      <c r="CA29" s="13">
        <v>84</v>
      </c>
      <c r="CB29" s="13">
        <v>85</v>
      </c>
      <c r="CC29" s="19" t="s">
        <v>1033</v>
      </c>
      <c r="CD29" s="44" t="s">
        <v>994</v>
      </c>
      <c r="CE29" s="43" t="s">
        <v>1038</v>
      </c>
      <c r="CF29" s="46" t="s">
        <v>1000</v>
      </c>
      <c r="CG29" s="19" t="s">
        <v>993</v>
      </c>
      <c r="CH29" s="19" t="s">
        <v>994</v>
      </c>
      <c r="CI29" s="19" t="s">
        <v>1039</v>
      </c>
      <c r="CJ29" s="46" t="s">
        <v>1000</v>
      </c>
      <c r="CK29" s="13">
        <v>91.3333333333333</v>
      </c>
      <c r="CL29" s="13">
        <v>84</v>
      </c>
      <c r="CM29">
        <v>87</v>
      </c>
      <c r="CN29">
        <v>81</v>
      </c>
      <c r="CO29" s="13">
        <v>82</v>
      </c>
      <c r="CP29" s="13">
        <v>87.2222222222222</v>
      </c>
      <c r="CQ29" s="13">
        <f t="shared" si="0"/>
        <v>83.166666666666671</v>
      </c>
      <c r="CR29" s="13">
        <f t="shared" si="1"/>
        <v>83.166666666666671</v>
      </c>
      <c r="CS29" s="13">
        <f t="shared" si="2"/>
        <v>80.166666666666671</v>
      </c>
      <c r="CT29" s="13">
        <f t="shared" si="3"/>
        <v>87.833333333333329</v>
      </c>
      <c r="CU29" s="13">
        <f t="shared" si="4"/>
        <v>81.666666666666671</v>
      </c>
      <c r="CV29" s="13">
        <f t="shared" si="5"/>
        <v>80.5</v>
      </c>
      <c r="CW29" s="13">
        <f t="shared" si="6"/>
        <v>82.75</v>
      </c>
      <c r="CX29" s="13">
        <f t="shared" si="7"/>
        <v>84.5</v>
      </c>
      <c r="CY29" s="13">
        <f t="shared" si="8"/>
        <v>83.5</v>
      </c>
      <c r="CZ29" s="13">
        <f t="shared" si="9"/>
        <v>84</v>
      </c>
      <c r="DA29" s="13">
        <f t="shared" si="10"/>
        <v>81.5</v>
      </c>
      <c r="DB29" s="13">
        <f t="shared" si="11"/>
        <v>81</v>
      </c>
      <c r="DC29" s="13">
        <f t="shared" si="12"/>
        <v>75</v>
      </c>
      <c r="DD29" s="13">
        <f t="shared" si="13"/>
        <v>84.5</v>
      </c>
      <c r="DE29" s="13">
        <f t="shared" si="14"/>
        <v>81.75</v>
      </c>
      <c r="DF29" s="13">
        <f t="shared" si="15"/>
        <v>86.25</v>
      </c>
      <c r="DG29" s="13">
        <f t="shared" si="16"/>
        <v>83.5</v>
      </c>
      <c r="DH29" s="13">
        <f t="shared" si="17"/>
        <v>85.25</v>
      </c>
      <c r="DI29" s="13">
        <f t="shared" si="18"/>
        <v>87.5</v>
      </c>
      <c r="DJ29" s="13">
        <f t="shared" si="19"/>
        <v>85</v>
      </c>
      <c r="DK29" s="13">
        <f t="shared" si="20"/>
        <v>83.125</v>
      </c>
    </row>
    <row r="30" spans="1:115">
      <c r="A30">
        <v>29</v>
      </c>
      <c r="B30">
        <f>'DATA US'!B43</f>
        <v>222310027</v>
      </c>
      <c r="C30" t="str">
        <f>'DATA US'!F43</f>
        <v>BEKASI</v>
      </c>
      <c r="D30" s="37" t="str">
        <f>'DATA US'!G43</f>
        <v>16 Januari 2007</v>
      </c>
      <c r="E30" t="str">
        <f>'DATA US'!C43</f>
        <v>0078911090</v>
      </c>
      <c r="F30" t="str">
        <f>'DATA US'!D43</f>
        <v>SOBRIYANTO</v>
      </c>
      <c r="G30" s="13">
        <v>85</v>
      </c>
      <c r="H30" s="13">
        <v>85</v>
      </c>
      <c r="I30" s="13">
        <v>82</v>
      </c>
      <c r="J30" s="13">
        <v>87</v>
      </c>
      <c r="K30" s="13">
        <v>85</v>
      </c>
      <c r="L30" s="13">
        <v>86</v>
      </c>
      <c r="M30" s="13">
        <v>87</v>
      </c>
      <c r="N30" s="13">
        <v>88</v>
      </c>
      <c r="O30" s="13">
        <v>85</v>
      </c>
      <c r="P30" s="13">
        <v>84</v>
      </c>
      <c r="Q30" s="13">
        <v>85</v>
      </c>
      <c r="R30" s="13">
        <v>90</v>
      </c>
      <c r="S30" s="13">
        <v>81</v>
      </c>
      <c r="T30" s="13">
        <v>84</v>
      </c>
      <c r="U30" s="13">
        <v>90</v>
      </c>
      <c r="V30" s="13">
        <v>90</v>
      </c>
      <c r="W30" s="13">
        <v>90</v>
      </c>
      <c r="X30" s="13">
        <v>90</v>
      </c>
      <c r="Y30" s="13">
        <v>75</v>
      </c>
      <c r="Z30" s="13">
        <v>75</v>
      </c>
      <c r="AA30" s="13">
        <v>84</v>
      </c>
      <c r="AB30" s="13">
        <v>82</v>
      </c>
      <c r="AC30" s="13">
        <v>86</v>
      </c>
      <c r="AD30" s="13">
        <v>86</v>
      </c>
      <c r="AE30" s="13">
        <v>79</v>
      </c>
      <c r="AF30" s="13">
        <v>78</v>
      </c>
      <c r="AG30" s="13">
        <v>86</v>
      </c>
      <c r="AH30" s="13">
        <v>81</v>
      </c>
      <c r="AI30" s="13">
        <v>90</v>
      </c>
      <c r="AJ30" s="13">
        <v>90</v>
      </c>
      <c r="AK30" s="13">
        <v>88</v>
      </c>
      <c r="AL30" s="13">
        <v>89</v>
      </c>
      <c r="AP30" t="s">
        <v>992</v>
      </c>
      <c r="AQ30" s="13">
        <v>83</v>
      </c>
      <c r="AR30" s="13">
        <v>83</v>
      </c>
      <c r="AS30" s="13">
        <v>80</v>
      </c>
      <c r="AT30" s="13">
        <v>82</v>
      </c>
      <c r="AU30" s="13">
        <v>88</v>
      </c>
      <c r="AV30" s="13">
        <v>84</v>
      </c>
      <c r="AW30" s="13">
        <v>81</v>
      </c>
      <c r="AX30" s="13">
        <v>87</v>
      </c>
      <c r="AY30" s="13">
        <v>86</v>
      </c>
      <c r="AZ30" s="13">
        <v>86</v>
      </c>
      <c r="BA30" s="13">
        <v>85</v>
      </c>
      <c r="BB30" s="13">
        <v>85</v>
      </c>
      <c r="BC30" s="13">
        <v>86</v>
      </c>
      <c r="BD30" s="13">
        <v>91</v>
      </c>
      <c r="BE30" s="13">
        <v>88</v>
      </c>
      <c r="BF30" s="13">
        <v>92</v>
      </c>
      <c r="BG30" s="13">
        <v>76</v>
      </c>
      <c r="BH30" s="13">
        <v>77</v>
      </c>
      <c r="BI30" s="13">
        <v>85</v>
      </c>
      <c r="BJ30" s="13">
        <v>86</v>
      </c>
      <c r="BK30" s="13">
        <v>84</v>
      </c>
      <c r="BL30" s="13">
        <v>86</v>
      </c>
      <c r="BM30" s="13">
        <v>85</v>
      </c>
      <c r="BN30" s="13">
        <v>86</v>
      </c>
      <c r="BO30" s="13">
        <v>89</v>
      </c>
      <c r="BP30" s="13">
        <v>90</v>
      </c>
      <c r="BQ30" s="13">
        <v>86</v>
      </c>
      <c r="BR30" s="13">
        <v>88</v>
      </c>
      <c r="BS30">
        <v>88</v>
      </c>
      <c r="BT30">
        <v>83</v>
      </c>
      <c r="BU30" s="13">
        <v>83</v>
      </c>
      <c r="BV30" s="13">
        <v>90</v>
      </c>
      <c r="BW30" s="13">
        <v>88</v>
      </c>
      <c r="BX30" s="13">
        <v>88</v>
      </c>
      <c r="BY30" s="13">
        <v>86</v>
      </c>
      <c r="BZ30" s="13">
        <v>90</v>
      </c>
      <c r="CA30" s="13">
        <v>87</v>
      </c>
      <c r="CB30" s="13">
        <v>88</v>
      </c>
      <c r="CC30" s="19" t="s">
        <v>993</v>
      </c>
      <c r="CD30" s="19" t="s">
        <v>994</v>
      </c>
      <c r="CE30" s="43" t="s">
        <v>1040</v>
      </c>
      <c r="CF30" s="23" t="s">
        <v>996</v>
      </c>
      <c r="CJ30" s="23"/>
      <c r="CK30" s="13">
        <v>90.6666666666667</v>
      </c>
      <c r="CL30" s="13">
        <v>85</v>
      </c>
      <c r="CM30">
        <v>93</v>
      </c>
      <c r="CN30">
        <v>83</v>
      </c>
      <c r="CO30" s="13">
        <v>83.25</v>
      </c>
      <c r="CP30" s="13">
        <v>89</v>
      </c>
      <c r="CQ30" s="13">
        <f t="shared" si="0"/>
        <v>85</v>
      </c>
      <c r="CR30" s="13">
        <f t="shared" si="1"/>
        <v>86.5</v>
      </c>
      <c r="CS30" s="13">
        <f t="shared" si="2"/>
        <v>81.333333333333329</v>
      </c>
      <c r="CT30" s="13">
        <f t="shared" si="3"/>
        <v>87.5</v>
      </c>
      <c r="CU30" s="13">
        <f t="shared" si="4"/>
        <v>84</v>
      </c>
      <c r="CV30" s="13">
        <f t="shared" si="5"/>
        <v>83</v>
      </c>
      <c r="CW30" s="13">
        <f t="shared" si="6"/>
        <v>83.5</v>
      </c>
      <c r="CX30" s="13">
        <f t="shared" si="7"/>
        <v>87.5</v>
      </c>
      <c r="CY30" s="13">
        <f t="shared" si="8"/>
        <v>85</v>
      </c>
      <c r="CZ30" s="13">
        <f t="shared" si="9"/>
        <v>86</v>
      </c>
      <c r="DA30" s="13">
        <f t="shared" si="10"/>
        <v>84</v>
      </c>
      <c r="DB30" s="13">
        <f t="shared" si="11"/>
        <v>90</v>
      </c>
      <c r="DC30" s="13">
        <f t="shared" si="12"/>
        <v>76.5</v>
      </c>
      <c r="DD30" s="13">
        <f t="shared" si="13"/>
        <v>88.5</v>
      </c>
      <c r="DE30" s="13">
        <f t="shared" si="14"/>
        <v>85.25</v>
      </c>
      <c r="DF30" s="13">
        <f t="shared" si="15"/>
        <v>87.5</v>
      </c>
      <c r="DG30" s="13">
        <f t="shared" si="16"/>
        <v>86.25</v>
      </c>
      <c r="DH30" s="13">
        <f t="shared" si="17"/>
        <v>88</v>
      </c>
      <c r="DI30" s="13">
        <f t="shared" si="18"/>
        <v>86.5</v>
      </c>
      <c r="DJ30" s="13">
        <f t="shared" si="19"/>
        <v>88.5</v>
      </c>
      <c r="DK30" s="13">
        <f t="shared" si="20"/>
        <v>85.516666666666666</v>
      </c>
    </row>
    <row r="31" spans="1:115">
      <c r="A31">
        <v>30</v>
      </c>
      <c r="B31">
        <f>'DATA US'!B44</f>
        <v>222310028</v>
      </c>
      <c r="C31" t="str">
        <f>'DATA US'!F44</f>
        <v>BEKASI</v>
      </c>
      <c r="D31" s="37" t="str">
        <f>'DATA US'!G44</f>
        <v>4 September 2007</v>
      </c>
      <c r="E31" t="str">
        <f>'DATA US'!C44</f>
        <v>0078505225</v>
      </c>
      <c r="F31" t="str">
        <f>'DATA US'!D44</f>
        <v>WANA SUMARNA</v>
      </c>
      <c r="G31" s="13">
        <v>84</v>
      </c>
      <c r="H31" s="13">
        <v>84</v>
      </c>
      <c r="I31" s="13">
        <v>86</v>
      </c>
      <c r="J31" s="13">
        <v>84</v>
      </c>
      <c r="K31" s="13">
        <v>85</v>
      </c>
      <c r="L31" s="13">
        <v>86</v>
      </c>
      <c r="M31" s="13">
        <v>86</v>
      </c>
      <c r="N31" s="13">
        <v>85</v>
      </c>
      <c r="O31" s="13">
        <v>84</v>
      </c>
      <c r="P31" s="13">
        <v>84</v>
      </c>
      <c r="Q31" s="13">
        <v>84</v>
      </c>
      <c r="R31" s="13">
        <v>86</v>
      </c>
      <c r="S31" s="13">
        <v>80</v>
      </c>
      <c r="T31" s="13">
        <v>84</v>
      </c>
      <c r="U31" s="13">
        <v>90</v>
      </c>
      <c r="V31" s="13">
        <v>90</v>
      </c>
      <c r="W31" s="13">
        <v>91</v>
      </c>
      <c r="X31" s="13">
        <v>90</v>
      </c>
      <c r="Y31" s="13">
        <v>76</v>
      </c>
      <c r="Z31" s="13">
        <v>85</v>
      </c>
      <c r="AA31" s="13">
        <v>84</v>
      </c>
      <c r="AB31" s="13">
        <v>85</v>
      </c>
      <c r="AC31" s="13">
        <v>87</v>
      </c>
      <c r="AD31" s="13">
        <v>89</v>
      </c>
      <c r="AE31" s="13">
        <v>78</v>
      </c>
      <c r="AF31" s="13">
        <v>78</v>
      </c>
      <c r="AG31" s="13">
        <v>84</v>
      </c>
      <c r="AH31" s="13">
        <v>82</v>
      </c>
      <c r="AI31" s="13">
        <v>86</v>
      </c>
      <c r="AJ31" s="13">
        <v>92</v>
      </c>
      <c r="AK31" s="13">
        <v>87</v>
      </c>
      <c r="AL31" s="13">
        <v>86</v>
      </c>
      <c r="AM31" t="s">
        <v>992</v>
      </c>
      <c r="AN31" t="s">
        <v>992</v>
      </c>
      <c r="AO31" t="s">
        <v>992</v>
      </c>
      <c r="AP31" t="s">
        <v>992</v>
      </c>
      <c r="AQ31" s="13">
        <v>84</v>
      </c>
      <c r="AR31" s="13">
        <v>84</v>
      </c>
      <c r="AS31" s="13">
        <v>80</v>
      </c>
      <c r="AT31" s="13">
        <v>81</v>
      </c>
      <c r="AU31" s="13">
        <v>83</v>
      </c>
      <c r="AV31" s="13">
        <v>83</v>
      </c>
      <c r="AW31" s="13">
        <v>79</v>
      </c>
      <c r="AX31" s="13">
        <v>88</v>
      </c>
      <c r="AY31" s="13">
        <v>84</v>
      </c>
      <c r="AZ31" s="13">
        <v>85</v>
      </c>
      <c r="BA31" s="13">
        <v>83</v>
      </c>
      <c r="BB31" s="13">
        <v>85</v>
      </c>
      <c r="BC31" s="13">
        <v>75</v>
      </c>
      <c r="BD31" s="13">
        <v>90</v>
      </c>
      <c r="BE31" s="13">
        <v>88</v>
      </c>
      <c r="BF31" s="13">
        <v>90</v>
      </c>
      <c r="BG31" s="13">
        <v>75</v>
      </c>
      <c r="BH31" s="13">
        <v>81</v>
      </c>
      <c r="BI31" s="13">
        <v>84</v>
      </c>
      <c r="BJ31" s="13">
        <v>86</v>
      </c>
      <c r="BK31" s="13">
        <v>84</v>
      </c>
      <c r="BL31" s="13">
        <v>88</v>
      </c>
      <c r="BM31" s="13">
        <v>86</v>
      </c>
      <c r="BN31" s="13">
        <v>86</v>
      </c>
      <c r="BO31" s="13">
        <v>89</v>
      </c>
      <c r="BP31" s="13">
        <v>90</v>
      </c>
      <c r="BQ31" s="13">
        <v>86</v>
      </c>
      <c r="BR31" s="13">
        <v>87</v>
      </c>
      <c r="BS31">
        <v>88</v>
      </c>
      <c r="BT31">
        <v>89</v>
      </c>
      <c r="BU31" s="13">
        <v>80</v>
      </c>
      <c r="BV31" s="13">
        <v>90</v>
      </c>
      <c r="BW31" s="13">
        <v>87</v>
      </c>
      <c r="BX31" s="13">
        <v>88</v>
      </c>
      <c r="BY31" s="13">
        <v>86</v>
      </c>
      <c r="BZ31" s="13">
        <v>90</v>
      </c>
      <c r="CA31" s="13">
        <v>85</v>
      </c>
      <c r="CB31" s="13">
        <v>87</v>
      </c>
      <c r="CC31" s="19" t="s">
        <v>1012</v>
      </c>
      <c r="CD31" s="19" t="s">
        <v>1013</v>
      </c>
      <c r="CE31" s="43" t="s">
        <v>1041</v>
      </c>
      <c r="CF31" s="23" t="s">
        <v>996</v>
      </c>
      <c r="CJ31" s="23"/>
      <c r="CK31" s="13">
        <v>90</v>
      </c>
      <c r="CL31" s="13">
        <v>85.3333333333333</v>
      </c>
      <c r="CM31">
        <v>83</v>
      </c>
      <c r="CN31">
        <v>84</v>
      </c>
      <c r="CO31" s="13">
        <v>83.25</v>
      </c>
      <c r="CP31" s="13">
        <v>87</v>
      </c>
      <c r="CQ31" s="13">
        <f t="shared" si="0"/>
        <v>84.833333333333329</v>
      </c>
      <c r="CR31" s="13">
        <f t="shared" si="1"/>
        <v>84.833333333333329</v>
      </c>
      <c r="CS31" s="13">
        <f t="shared" si="2"/>
        <v>84.333333333333329</v>
      </c>
      <c r="CT31" s="13">
        <f t="shared" si="3"/>
        <v>87.5</v>
      </c>
      <c r="CU31" s="13">
        <f t="shared" si="4"/>
        <v>83.333333333333329</v>
      </c>
      <c r="CV31" s="13">
        <f t="shared" si="5"/>
        <v>84</v>
      </c>
      <c r="CW31" s="13">
        <f t="shared" si="6"/>
        <v>81.75</v>
      </c>
      <c r="CX31" s="13">
        <f t="shared" si="7"/>
        <v>86</v>
      </c>
      <c r="CY31" s="13">
        <f t="shared" si="8"/>
        <v>84</v>
      </c>
      <c r="CZ31" s="13">
        <f t="shared" si="9"/>
        <v>84.5</v>
      </c>
      <c r="DA31" s="13">
        <f t="shared" si="10"/>
        <v>83.5</v>
      </c>
      <c r="DB31" s="13">
        <f t="shared" si="11"/>
        <v>89</v>
      </c>
      <c r="DC31" s="13">
        <f t="shared" si="12"/>
        <v>78</v>
      </c>
      <c r="DD31" s="13">
        <f t="shared" si="13"/>
        <v>82.5</v>
      </c>
      <c r="DE31" s="13">
        <f t="shared" si="14"/>
        <v>85.5</v>
      </c>
      <c r="DF31" s="13">
        <f t="shared" si="15"/>
        <v>87.75</v>
      </c>
      <c r="DG31" s="13">
        <f t="shared" si="16"/>
        <v>87.5</v>
      </c>
      <c r="DH31" s="13">
        <f t="shared" si="17"/>
        <v>87.75</v>
      </c>
      <c r="DI31" s="13">
        <f t="shared" si="18"/>
        <v>85</v>
      </c>
      <c r="DJ31" s="13">
        <f t="shared" si="19"/>
        <v>86.5</v>
      </c>
      <c r="DK31" s="13">
        <f t="shared" si="20"/>
        <v>84.904166666666669</v>
      </c>
    </row>
    <row r="32" spans="1:115">
      <c r="A32">
        <v>31</v>
      </c>
      <c r="B32">
        <f>'DATA US'!B45</f>
        <v>222310029</v>
      </c>
      <c r="C32" t="str">
        <f>'DATA US'!F45</f>
        <v>BEKASI</v>
      </c>
      <c r="D32" s="37" t="str">
        <f>'DATA US'!G45</f>
        <v>16 April 2007</v>
      </c>
      <c r="E32" t="str">
        <f>'DATA US'!C45</f>
        <v>0071843924</v>
      </c>
      <c r="F32" t="str">
        <f>'DATA US'!D45</f>
        <v>WISNU BINTANG BERLIAN</v>
      </c>
      <c r="G32" s="13">
        <v>78</v>
      </c>
      <c r="H32" s="13">
        <v>77</v>
      </c>
      <c r="I32" s="13">
        <v>83</v>
      </c>
      <c r="J32" s="13">
        <v>81</v>
      </c>
      <c r="K32" s="13">
        <v>84</v>
      </c>
      <c r="L32" s="13">
        <v>85</v>
      </c>
      <c r="M32" s="13">
        <v>80</v>
      </c>
      <c r="N32" s="13">
        <v>79</v>
      </c>
      <c r="O32" s="13">
        <v>79</v>
      </c>
      <c r="P32" s="13">
        <v>82</v>
      </c>
      <c r="Q32" s="13">
        <v>82</v>
      </c>
      <c r="R32" s="13">
        <v>83</v>
      </c>
      <c r="S32" s="13">
        <v>78</v>
      </c>
      <c r="T32" s="13">
        <v>76</v>
      </c>
      <c r="U32" s="13">
        <v>78</v>
      </c>
      <c r="V32" s="13">
        <v>85</v>
      </c>
      <c r="W32" s="13">
        <v>80</v>
      </c>
      <c r="X32" s="13">
        <v>83</v>
      </c>
      <c r="Y32" s="13">
        <v>77</v>
      </c>
      <c r="Z32" s="13">
        <v>76</v>
      </c>
      <c r="AA32" s="13">
        <v>78</v>
      </c>
      <c r="AB32" s="13">
        <v>79</v>
      </c>
      <c r="AC32" s="13">
        <v>84</v>
      </c>
      <c r="AD32" s="13">
        <v>85</v>
      </c>
      <c r="AE32" s="13">
        <v>75</v>
      </c>
      <c r="AF32" s="13">
        <v>77</v>
      </c>
      <c r="AG32" s="13">
        <v>79</v>
      </c>
      <c r="AH32" s="13">
        <v>80</v>
      </c>
      <c r="AI32" s="13">
        <v>83</v>
      </c>
      <c r="AJ32" s="13">
        <v>85</v>
      </c>
      <c r="AK32" s="13">
        <v>82</v>
      </c>
      <c r="AL32" s="13">
        <v>76</v>
      </c>
      <c r="AM32" t="s">
        <v>992</v>
      </c>
      <c r="AN32" t="s">
        <v>992</v>
      </c>
      <c r="AO32" t="s">
        <v>992</v>
      </c>
      <c r="AP32" t="s">
        <v>992</v>
      </c>
      <c r="AQ32" s="13">
        <v>80</v>
      </c>
      <c r="AR32" s="13">
        <v>78</v>
      </c>
      <c r="AS32" s="13">
        <v>80</v>
      </c>
      <c r="AT32" s="13">
        <v>82</v>
      </c>
      <c r="AU32" s="13">
        <v>84</v>
      </c>
      <c r="AV32" s="13">
        <v>82</v>
      </c>
      <c r="AW32" s="13">
        <v>77</v>
      </c>
      <c r="AX32" s="13">
        <v>81</v>
      </c>
      <c r="AY32" s="13">
        <v>82</v>
      </c>
      <c r="AZ32" s="13">
        <v>81</v>
      </c>
      <c r="BA32" s="13">
        <v>82</v>
      </c>
      <c r="BB32" s="13">
        <v>83</v>
      </c>
      <c r="BC32" s="13">
        <v>80</v>
      </c>
      <c r="BD32" s="13">
        <v>75</v>
      </c>
      <c r="BE32" s="13">
        <v>75</v>
      </c>
      <c r="BF32" s="13">
        <v>80</v>
      </c>
      <c r="BG32" s="13">
        <v>75</v>
      </c>
      <c r="BH32" s="13">
        <v>76</v>
      </c>
      <c r="BI32" s="13">
        <v>78</v>
      </c>
      <c r="BJ32" s="13">
        <v>79</v>
      </c>
      <c r="BK32" s="13">
        <v>83</v>
      </c>
      <c r="BL32" s="13">
        <v>88</v>
      </c>
      <c r="BM32" s="13">
        <v>78</v>
      </c>
      <c r="BN32" s="13">
        <v>85</v>
      </c>
      <c r="BO32" s="13">
        <v>83</v>
      </c>
      <c r="BP32" s="13">
        <v>84</v>
      </c>
      <c r="BQ32" s="13">
        <v>78</v>
      </c>
      <c r="BR32" s="13">
        <v>82</v>
      </c>
      <c r="BS32">
        <v>86</v>
      </c>
      <c r="BT32">
        <v>89</v>
      </c>
      <c r="BU32" s="13">
        <v>81</v>
      </c>
      <c r="BV32" s="13">
        <v>86</v>
      </c>
      <c r="BW32" s="13">
        <v>83</v>
      </c>
      <c r="BX32" s="13">
        <v>84</v>
      </c>
      <c r="BY32" s="13">
        <v>86</v>
      </c>
      <c r="BZ32" s="13">
        <v>86</v>
      </c>
      <c r="CA32" s="13">
        <v>78</v>
      </c>
      <c r="CB32" s="13">
        <v>81</v>
      </c>
      <c r="CC32" s="19" t="s">
        <v>997</v>
      </c>
      <c r="CD32" s="19" t="s">
        <v>998</v>
      </c>
      <c r="CE32" s="43" t="s">
        <v>1042</v>
      </c>
      <c r="CF32" s="23" t="s">
        <v>996</v>
      </c>
      <c r="CJ32" s="23"/>
      <c r="CK32" s="13">
        <v>88.3333333333333</v>
      </c>
      <c r="CL32" s="13">
        <v>82</v>
      </c>
      <c r="CM32">
        <v>80</v>
      </c>
      <c r="CN32">
        <v>80</v>
      </c>
      <c r="CO32" s="13">
        <v>83</v>
      </c>
      <c r="CP32" s="13">
        <v>86.7222222222222</v>
      </c>
      <c r="CQ32" s="13">
        <f t="shared" si="0"/>
        <v>81.333333333333329</v>
      </c>
      <c r="CR32" s="13">
        <f t="shared" si="1"/>
        <v>80.833333333333329</v>
      </c>
      <c r="CS32" s="13">
        <f t="shared" si="2"/>
        <v>79.833333333333329</v>
      </c>
      <c r="CT32" s="13">
        <f t="shared" si="3"/>
        <v>80</v>
      </c>
      <c r="CU32" s="13">
        <f t="shared" si="4"/>
        <v>79.833333333333329</v>
      </c>
      <c r="CV32" s="13">
        <f t="shared" si="5"/>
        <v>79</v>
      </c>
      <c r="CW32" s="13">
        <f t="shared" si="6"/>
        <v>82</v>
      </c>
      <c r="CX32" s="13">
        <f t="shared" si="7"/>
        <v>79.5</v>
      </c>
      <c r="CY32" s="13">
        <f t="shared" si="8"/>
        <v>82.5</v>
      </c>
      <c r="CZ32" s="13">
        <f t="shared" si="9"/>
        <v>81.5</v>
      </c>
      <c r="DA32" s="13">
        <f t="shared" si="10"/>
        <v>79</v>
      </c>
      <c r="DB32" s="13">
        <f t="shared" si="11"/>
        <v>77.5</v>
      </c>
      <c r="DC32" s="13">
        <f t="shared" si="12"/>
        <v>75.5</v>
      </c>
      <c r="DD32" s="13">
        <f t="shared" si="13"/>
        <v>77.5</v>
      </c>
      <c r="DE32" s="13">
        <f t="shared" si="14"/>
        <v>82</v>
      </c>
      <c r="DF32" s="13">
        <f t="shared" si="15"/>
        <v>82.5</v>
      </c>
      <c r="DG32" s="13">
        <f t="shared" si="16"/>
        <v>83.75</v>
      </c>
      <c r="DH32" s="13">
        <f t="shared" si="17"/>
        <v>84.75</v>
      </c>
      <c r="DI32" s="13">
        <f t="shared" si="18"/>
        <v>83.5</v>
      </c>
      <c r="DJ32" s="13">
        <f t="shared" si="19"/>
        <v>79</v>
      </c>
      <c r="DK32" s="13">
        <f t="shared" si="20"/>
        <v>80.566666666666663</v>
      </c>
    </row>
    <row r="33" spans="1:115">
      <c r="A33">
        <v>32</v>
      </c>
      <c r="B33">
        <f>'DATA US'!B46</f>
        <v>242512086</v>
      </c>
      <c r="C33" t="str">
        <f>'DATA US'!F46</f>
        <v>MAJALENGKA</v>
      </c>
      <c r="D33" s="37" t="str">
        <f>'DATA US'!G46</f>
        <v>07 Februari 2007</v>
      </c>
      <c r="E33" t="str">
        <f>'DATA US'!C46</f>
        <v>0075620652</v>
      </c>
      <c r="F33" t="str">
        <f>'DATA US'!D46</f>
        <v>HAZAQ OSEAN RAFIF</v>
      </c>
      <c r="G33">
        <v>80</v>
      </c>
      <c r="H33">
        <v>82</v>
      </c>
      <c r="I33">
        <v>84</v>
      </c>
      <c r="J33">
        <v>80</v>
      </c>
      <c r="K33" s="13">
        <v>86</v>
      </c>
      <c r="L33" s="13">
        <v>87</v>
      </c>
      <c r="M33">
        <v>85</v>
      </c>
      <c r="N33">
        <v>80</v>
      </c>
      <c r="O33">
        <v>82</v>
      </c>
      <c r="P33">
        <v>80</v>
      </c>
      <c r="Q33" s="13">
        <v>85</v>
      </c>
      <c r="R33" s="13">
        <v>90</v>
      </c>
      <c r="S33">
        <v>80</v>
      </c>
      <c r="T33">
        <v>83</v>
      </c>
      <c r="U33">
        <v>82</v>
      </c>
      <c r="V33">
        <v>86</v>
      </c>
      <c r="W33" s="13">
        <v>86</v>
      </c>
      <c r="X33" s="13">
        <v>91</v>
      </c>
      <c r="Y33">
        <v>79</v>
      </c>
      <c r="Z33">
        <v>80</v>
      </c>
      <c r="AA33">
        <v>82</v>
      </c>
      <c r="AB33">
        <v>83</v>
      </c>
      <c r="AC33" s="13">
        <v>82</v>
      </c>
      <c r="AD33" s="13">
        <v>88</v>
      </c>
      <c r="AE33">
        <v>84</v>
      </c>
      <c r="AF33">
        <v>84</v>
      </c>
      <c r="AG33">
        <v>86</v>
      </c>
      <c r="AH33">
        <v>85</v>
      </c>
      <c r="AI33" s="13">
        <v>90</v>
      </c>
      <c r="AJ33" s="13">
        <v>95</v>
      </c>
      <c r="AK33">
        <v>80</v>
      </c>
      <c r="AL33">
        <v>83</v>
      </c>
      <c r="AM33" t="s">
        <v>992</v>
      </c>
      <c r="AN33" t="s">
        <v>992</v>
      </c>
      <c r="AO33" t="s">
        <v>992</v>
      </c>
      <c r="AP33" t="s">
        <v>992</v>
      </c>
      <c r="AQ33">
        <v>80</v>
      </c>
      <c r="AR33">
        <v>75</v>
      </c>
      <c r="AS33">
        <v>81</v>
      </c>
      <c r="AT33">
        <v>83</v>
      </c>
      <c r="AU33">
        <v>85</v>
      </c>
      <c r="AV33">
        <v>80</v>
      </c>
      <c r="AW33">
        <v>79</v>
      </c>
      <c r="AX33">
        <v>83</v>
      </c>
      <c r="AY33">
        <v>79</v>
      </c>
      <c r="AZ33">
        <v>80</v>
      </c>
      <c r="BA33">
        <v>79</v>
      </c>
      <c r="BB33">
        <v>80</v>
      </c>
      <c r="BC33">
        <v>88</v>
      </c>
      <c r="BD33">
        <v>87</v>
      </c>
      <c r="BE33">
        <v>83</v>
      </c>
      <c r="BF33">
        <v>85</v>
      </c>
      <c r="BG33">
        <v>85</v>
      </c>
      <c r="BH33">
        <v>80</v>
      </c>
      <c r="BI33">
        <v>84</v>
      </c>
      <c r="BJ33">
        <v>83</v>
      </c>
      <c r="BK33" s="13">
        <v>84</v>
      </c>
      <c r="BL33" s="13">
        <v>85</v>
      </c>
      <c r="BM33">
        <v>81</v>
      </c>
      <c r="BN33">
        <v>88</v>
      </c>
      <c r="BO33" s="13">
        <v>89</v>
      </c>
      <c r="BP33" s="13">
        <v>90</v>
      </c>
      <c r="BQ33">
        <v>80</v>
      </c>
      <c r="BR33">
        <v>88</v>
      </c>
      <c r="BS33">
        <v>88</v>
      </c>
      <c r="BT33">
        <v>86</v>
      </c>
      <c r="BU33" s="13">
        <v>92</v>
      </c>
      <c r="BV33" s="13">
        <v>90</v>
      </c>
      <c r="BW33">
        <v>84</v>
      </c>
      <c r="BX33">
        <v>88</v>
      </c>
      <c r="BY33" s="13">
        <v>88</v>
      </c>
      <c r="BZ33" s="13">
        <v>90</v>
      </c>
      <c r="CA33">
        <v>75</v>
      </c>
      <c r="CB33">
        <v>75</v>
      </c>
      <c r="CC33" s="20" t="s">
        <v>1043</v>
      </c>
      <c r="CD33" s="20" t="s">
        <v>1044</v>
      </c>
      <c r="CE33" s="45" t="s">
        <v>1045</v>
      </c>
      <c r="CF33" s="23" t="s">
        <v>1000</v>
      </c>
      <c r="CG33" s="294" t="s">
        <v>1232</v>
      </c>
      <c r="CH33" t="s">
        <v>1046</v>
      </c>
      <c r="CJ33" s="23" t="s">
        <v>1000</v>
      </c>
      <c r="CK33" s="13">
        <v>92.3333333333333</v>
      </c>
      <c r="CL33" s="13">
        <v>85.6666666666667</v>
      </c>
      <c r="CM33">
        <v>98</v>
      </c>
      <c r="CN33">
        <v>88</v>
      </c>
      <c r="CO33" s="13">
        <v>84</v>
      </c>
      <c r="CP33" s="13">
        <v>90</v>
      </c>
      <c r="CQ33" s="13">
        <f t="shared" si="0"/>
        <v>83.166666666666671</v>
      </c>
      <c r="CR33" s="13">
        <f t="shared" si="1"/>
        <v>83.666666666666671</v>
      </c>
      <c r="CS33" s="13">
        <f t="shared" si="2"/>
        <v>82.333333333333329</v>
      </c>
      <c r="CT33" s="13">
        <f t="shared" si="3"/>
        <v>84.666666666666671</v>
      </c>
      <c r="CU33" s="13">
        <f t="shared" si="4"/>
        <v>87.333333333333329</v>
      </c>
      <c r="CV33" s="13">
        <f t="shared" si="5"/>
        <v>77.5</v>
      </c>
      <c r="CW33" s="13">
        <f t="shared" si="6"/>
        <v>82.25</v>
      </c>
      <c r="CX33" s="13">
        <f t="shared" si="7"/>
        <v>75</v>
      </c>
      <c r="CY33" s="13">
        <f t="shared" si="8"/>
        <v>79.5</v>
      </c>
      <c r="CZ33" s="13">
        <f t="shared" si="9"/>
        <v>79.5</v>
      </c>
      <c r="DA33" s="13">
        <f t="shared" si="10"/>
        <v>81</v>
      </c>
      <c r="DB33" s="13">
        <f t="shared" si="11"/>
        <v>84</v>
      </c>
      <c r="DC33" s="13">
        <f t="shared" si="12"/>
        <v>82.5</v>
      </c>
      <c r="DD33" s="13">
        <f t="shared" si="13"/>
        <v>87.5</v>
      </c>
      <c r="DE33" s="13">
        <f t="shared" si="14"/>
        <v>84</v>
      </c>
      <c r="DF33" s="13">
        <f t="shared" si="15"/>
        <v>87</v>
      </c>
      <c r="DG33" s="13">
        <f t="shared" si="16"/>
        <v>85.5</v>
      </c>
      <c r="DH33" s="13">
        <f t="shared" si="17"/>
        <v>87.5</v>
      </c>
      <c r="DI33" s="13">
        <f t="shared" si="18"/>
        <v>91</v>
      </c>
      <c r="DJ33" s="13">
        <f t="shared" si="19"/>
        <v>81.5</v>
      </c>
      <c r="DK33" s="13">
        <f t="shared" si="20"/>
        <v>83.32083333333334</v>
      </c>
    </row>
    <row r="34" spans="1:115">
      <c r="A34">
        <v>33</v>
      </c>
      <c r="B34">
        <f>'DATA US'!B47</f>
        <v>222310030</v>
      </c>
      <c r="C34" t="str">
        <f>'DATA US'!F47</f>
        <v>BEKASI</v>
      </c>
      <c r="D34" s="37" t="str">
        <f>'DATA US'!G47</f>
        <v>28 Juni 2007</v>
      </c>
      <c r="E34" t="str">
        <f>'DATA US'!C47</f>
        <v>0076215153</v>
      </c>
      <c r="F34" t="str">
        <f>'DATA US'!D47</f>
        <v>AA DITIA FRATAMA</v>
      </c>
      <c r="G34">
        <v>82</v>
      </c>
      <c r="H34">
        <v>81</v>
      </c>
      <c r="I34">
        <v>85</v>
      </c>
      <c r="J34">
        <v>84</v>
      </c>
      <c r="K34">
        <v>84</v>
      </c>
      <c r="L34">
        <v>85</v>
      </c>
      <c r="M34">
        <v>83</v>
      </c>
      <c r="N34">
        <v>83</v>
      </c>
      <c r="O34">
        <v>83</v>
      </c>
      <c r="P34">
        <v>85</v>
      </c>
      <c r="Q34">
        <v>84</v>
      </c>
      <c r="R34">
        <v>84</v>
      </c>
      <c r="S34">
        <v>80</v>
      </c>
      <c r="T34">
        <v>85</v>
      </c>
      <c r="U34">
        <v>88</v>
      </c>
      <c r="V34">
        <v>88</v>
      </c>
      <c r="W34">
        <v>86</v>
      </c>
      <c r="X34">
        <v>93</v>
      </c>
      <c r="Y34">
        <v>75</v>
      </c>
      <c r="Z34">
        <v>76</v>
      </c>
      <c r="AA34">
        <v>79</v>
      </c>
      <c r="AB34">
        <v>81</v>
      </c>
      <c r="AC34">
        <v>81</v>
      </c>
      <c r="AD34">
        <v>87</v>
      </c>
      <c r="AE34">
        <v>80</v>
      </c>
      <c r="AF34">
        <v>77</v>
      </c>
      <c r="AG34">
        <v>84</v>
      </c>
      <c r="AH34">
        <v>90</v>
      </c>
      <c r="AI34">
        <v>86</v>
      </c>
      <c r="AJ34">
        <v>86</v>
      </c>
      <c r="AK34">
        <v>85</v>
      </c>
      <c r="AL34">
        <v>83</v>
      </c>
      <c r="AP34" t="s">
        <v>992</v>
      </c>
      <c r="AQ34">
        <v>82</v>
      </c>
      <c r="AR34">
        <v>80</v>
      </c>
      <c r="AS34">
        <v>80</v>
      </c>
      <c r="AT34">
        <v>79</v>
      </c>
      <c r="AU34">
        <v>84</v>
      </c>
      <c r="AV34">
        <v>82</v>
      </c>
      <c r="AW34">
        <v>77</v>
      </c>
      <c r="AX34">
        <v>77</v>
      </c>
      <c r="AY34">
        <v>83</v>
      </c>
      <c r="AZ34">
        <v>84</v>
      </c>
      <c r="BA34">
        <v>84</v>
      </c>
      <c r="BB34">
        <v>81</v>
      </c>
      <c r="BC34">
        <v>84</v>
      </c>
      <c r="BD34">
        <v>85</v>
      </c>
      <c r="BE34">
        <v>82</v>
      </c>
      <c r="BF34">
        <v>79</v>
      </c>
      <c r="BG34">
        <v>80</v>
      </c>
      <c r="BH34">
        <v>82</v>
      </c>
      <c r="BI34">
        <v>86</v>
      </c>
      <c r="BJ34">
        <v>88</v>
      </c>
      <c r="BK34">
        <v>83</v>
      </c>
      <c r="BL34">
        <v>90</v>
      </c>
      <c r="BM34">
        <v>86</v>
      </c>
      <c r="BN34">
        <v>87</v>
      </c>
      <c r="BO34">
        <v>87</v>
      </c>
      <c r="BP34">
        <v>87</v>
      </c>
      <c r="BQ34">
        <v>90</v>
      </c>
      <c r="BR34">
        <v>84</v>
      </c>
      <c r="BS34">
        <v>85</v>
      </c>
      <c r="BT34">
        <v>85</v>
      </c>
      <c r="BU34">
        <v>83</v>
      </c>
      <c r="BV34">
        <v>83</v>
      </c>
      <c r="BW34">
        <v>85</v>
      </c>
      <c r="BX34">
        <v>80</v>
      </c>
      <c r="BY34">
        <v>86</v>
      </c>
      <c r="BZ34">
        <v>87</v>
      </c>
      <c r="CA34">
        <v>83</v>
      </c>
      <c r="CB34">
        <v>83</v>
      </c>
      <c r="CC34" s="19" t="s">
        <v>1023</v>
      </c>
      <c r="CD34" s="19" t="s">
        <v>1024</v>
      </c>
      <c r="CE34" s="43" t="s">
        <v>1047</v>
      </c>
      <c r="CF34" s="19" t="s">
        <v>996</v>
      </c>
      <c r="CJ34" s="19"/>
      <c r="CK34" s="13">
        <v>91.6666666666667</v>
      </c>
      <c r="CL34">
        <v>84.6666666666667</v>
      </c>
      <c r="CM34">
        <v>82</v>
      </c>
      <c r="CN34">
        <v>88</v>
      </c>
      <c r="CO34" s="13">
        <v>82.25</v>
      </c>
      <c r="CP34" s="13">
        <v>87.0277777777778</v>
      </c>
      <c r="CQ34" s="13">
        <f t="shared" si="0"/>
        <v>83.5</v>
      </c>
      <c r="CR34" s="13">
        <f t="shared" si="1"/>
        <v>83.666666666666671</v>
      </c>
      <c r="CS34" s="13">
        <f t="shared" si="2"/>
        <v>79.833333333333329</v>
      </c>
      <c r="CT34" s="13">
        <f t="shared" si="3"/>
        <v>86.666666666666671</v>
      </c>
      <c r="CU34" s="13">
        <f t="shared" si="4"/>
        <v>83.833333333333329</v>
      </c>
      <c r="CV34" s="13">
        <f t="shared" si="5"/>
        <v>81</v>
      </c>
      <c r="CW34" s="13">
        <f t="shared" si="6"/>
        <v>81.25</v>
      </c>
      <c r="CX34" s="13">
        <f t="shared" si="7"/>
        <v>83</v>
      </c>
      <c r="CY34" s="13">
        <f t="shared" si="8"/>
        <v>82.5</v>
      </c>
      <c r="CZ34" s="13">
        <f t="shared" si="9"/>
        <v>83.5</v>
      </c>
      <c r="DA34" s="13">
        <f t="shared" si="10"/>
        <v>77</v>
      </c>
      <c r="DB34" s="13">
        <f t="shared" si="11"/>
        <v>80.5</v>
      </c>
      <c r="DC34" s="13">
        <f t="shared" si="12"/>
        <v>81</v>
      </c>
      <c r="DD34" s="13">
        <f t="shared" si="13"/>
        <v>84.5</v>
      </c>
      <c r="DE34" s="13">
        <f t="shared" si="14"/>
        <v>86.75</v>
      </c>
      <c r="DF34" s="13">
        <f t="shared" si="15"/>
        <v>86.75</v>
      </c>
      <c r="DG34" s="13">
        <f t="shared" si="16"/>
        <v>86</v>
      </c>
      <c r="DH34" s="13">
        <f t="shared" si="17"/>
        <v>84.5</v>
      </c>
      <c r="DI34" s="13">
        <f t="shared" si="18"/>
        <v>83</v>
      </c>
      <c r="DJ34" s="13">
        <f t="shared" si="19"/>
        <v>84</v>
      </c>
      <c r="DK34" s="13">
        <f t="shared" si="20"/>
        <v>83.137500000000003</v>
      </c>
    </row>
    <row r="35" spans="1:115">
      <c r="A35">
        <v>34</v>
      </c>
      <c r="B35">
        <f>'DATA US'!B48</f>
        <v>222310031</v>
      </c>
      <c r="C35" t="str">
        <f>'DATA US'!F48</f>
        <v>BREBES</v>
      </c>
      <c r="D35" s="37" t="str">
        <f>'DATA US'!G48</f>
        <v>26 Oktober 2006</v>
      </c>
      <c r="E35" t="str">
        <f>'DATA US'!C48</f>
        <v>0064677701</v>
      </c>
      <c r="F35" t="str">
        <f>'DATA US'!D48</f>
        <v>ABDULLAH AHMAD FAUZAN</v>
      </c>
      <c r="G35">
        <v>84</v>
      </c>
      <c r="H35">
        <v>82</v>
      </c>
      <c r="I35">
        <v>81</v>
      </c>
      <c r="J35">
        <v>84</v>
      </c>
      <c r="K35">
        <v>83</v>
      </c>
      <c r="L35">
        <v>84</v>
      </c>
      <c r="M35">
        <v>80</v>
      </c>
      <c r="N35">
        <v>80</v>
      </c>
      <c r="O35">
        <v>80</v>
      </c>
      <c r="P35">
        <v>80</v>
      </c>
      <c r="Q35">
        <v>81</v>
      </c>
      <c r="R35">
        <v>81</v>
      </c>
      <c r="S35">
        <v>84</v>
      </c>
      <c r="T35">
        <v>81</v>
      </c>
      <c r="U35">
        <v>82</v>
      </c>
      <c r="V35">
        <v>83</v>
      </c>
      <c r="W35">
        <v>85</v>
      </c>
      <c r="X35">
        <v>88</v>
      </c>
      <c r="Y35">
        <v>75</v>
      </c>
      <c r="Z35">
        <v>76</v>
      </c>
      <c r="AA35">
        <v>78</v>
      </c>
      <c r="AB35">
        <v>80</v>
      </c>
      <c r="AC35">
        <v>80</v>
      </c>
      <c r="AD35">
        <v>81</v>
      </c>
      <c r="AE35">
        <v>76</v>
      </c>
      <c r="AF35">
        <v>77</v>
      </c>
      <c r="AG35">
        <v>80</v>
      </c>
      <c r="AH35">
        <v>82</v>
      </c>
      <c r="AI35">
        <v>85</v>
      </c>
      <c r="AJ35">
        <v>85</v>
      </c>
      <c r="AK35">
        <v>81</v>
      </c>
      <c r="AL35">
        <v>80</v>
      </c>
      <c r="AP35" t="s">
        <v>992</v>
      </c>
      <c r="AQ35">
        <v>81</v>
      </c>
      <c r="AR35">
        <v>80</v>
      </c>
      <c r="AS35">
        <v>80</v>
      </c>
      <c r="AT35">
        <v>79</v>
      </c>
      <c r="AU35">
        <v>86</v>
      </c>
      <c r="AV35">
        <v>83</v>
      </c>
      <c r="AW35">
        <v>76</v>
      </c>
      <c r="AX35">
        <v>85</v>
      </c>
      <c r="AY35">
        <v>82</v>
      </c>
      <c r="AZ35">
        <v>84</v>
      </c>
      <c r="BA35">
        <v>82</v>
      </c>
      <c r="BB35">
        <v>82</v>
      </c>
      <c r="BC35">
        <v>77</v>
      </c>
      <c r="BD35">
        <v>80</v>
      </c>
      <c r="BE35">
        <v>81</v>
      </c>
      <c r="BF35">
        <v>79</v>
      </c>
      <c r="BG35">
        <v>77</v>
      </c>
      <c r="BH35">
        <v>81</v>
      </c>
      <c r="BI35">
        <v>79</v>
      </c>
      <c r="BJ35">
        <v>80</v>
      </c>
      <c r="BK35">
        <v>82</v>
      </c>
      <c r="BL35">
        <v>90</v>
      </c>
      <c r="BM35">
        <v>79</v>
      </c>
      <c r="BN35">
        <v>80</v>
      </c>
      <c r="BO35">
        <v>83</v>
      </c>
      <c r="BP35">
        <v>83</v>
      </c>
      <c r="BQ35">
        <v>88</v>
      </c>
      <c r="BR35">
        <v>83</v>
      </c>
      <c r="BS35">
        <v>84</v>
      </c>
      <c r="BT35">
        <v>84</v>
      </c>
      <c r="BU35">
        <v>80</v>
      </c>
      <c r="BV35">
        <v>80</v>
      </c>
      <c r="BW35">
        <v>81</v>
      </c>
      <c r="BX35">
        <v>85</v>
      </c>
      <c r="BY35">
        <v>82</v>
      </c>
      <c r="BZ35">
        <v>83</v>
      </c>
      <c r="CA35">
        <v>81</v>
      </c>
      <c r="CB35">
        <v>80</v>
      </c>
      <c r="CC35" s="19" t="s">
        <v>1048</v>
      </c>
      <c r="CD35" s="19" t="s">
        <v>1029</v>
      </c>
      <c r="CE35" s="43" t="s">
        <v>1022</v>
      </c>
      <c r="CF35" s="19" t="s">
        <v>996</v>
      </c>
      <c r="CJ35" s="19"/>
      <c r="CK35" s="13">
        <v>89.6666666666667</v>
      </c>
      <c r="CL35">
        <v>82.6666666666667</v>
      </c>
      <c r="CM35">
        <v>81</v>
      </c>
      <c r="CN35">
        <v>89</v>
      </c>
      <c r="CO35" s="13">
        <v>82</v>
      </c>
      <c r="CP35" s="13">
        <v>84.5</v>
      </c>
      <c r="CQ35" s="13">
        <f t="shared" si="0"/>
        <v>83</v>
      </c>
      <c r="CR35" s="13">
        <f t="shared" si="1"/>
        <v>80.333333333333329</v>
      </c>
      <c r="CS35" s="13">
        <f t="shared" si="2"/>
        <v>78.333333333333329</v>
      </c>
      <c r="CT35" s="13">
        <f t="shared" si="3"/>
        <v>83.833333333333329</v>
      </c>
      <c r="CU35" s="13">
        <f t="shared" si="4"/>
        <v>80.833333333333329</v>
      </c>
      <c r="CV35" s="13">
        <f t="shared" si="5"/>
        <v>80.5</v>
      </c>
      <c r="CW35" s="13">
        <f t="shared" si="6"/>
        <v>82</v>
      </c>
      <c r="CX35" s="13">
        <f t="shared" si="7"/>
        <v>80.5</v>
      </c>
      <c r="CY35" s="13">
        <f t="shared" si="8"/>
        <v>82</v>
      </c>
      <c r="CZ35" s="13">
        <f t="shared" si="9"/>
        <v>83</v>
      </c>
      <c r="DA35" s="13">
        <f t="shared" si="10"/>
        <v>80.5</v>
      </c>
      <c r="DB35" s="13">
        <f t="shared" si="11"/>
        <v>80</v>
      </c>
      <c r="DC35" s="13">
        <f t="shared" si="12"/>
        <v>79</v>
      </c>
      <c r="DD35" s="13">
        <f t="shared" si="13"/>
        <v>78.5</v>
      </c>
      <c r="DE35" s="13">
        <f t="shared" si="14"/>
        <v>82.75</v>
      </c>
      <c r="DF35" s="13">
        <f t="shared" si="15"/>
        <v>81.25</v>
      </c>
      <c r="DG35" s="13">
        <f t="shared" si="16"/>
        <v>84.75</v>
      </c>
      <c r="DH35" s="13">
        <f t="shared" si="17"/>
        <v>82.75</v>
      </c>
      <c r="DI35" s="13">
        <f t="shared" si="18"/>
        <v>80</v>
      </c>
      <c r="DJ35" s="13">
        <f t="shared" si="19"/>
        <v>80.5</v>
      </c>
      <c r="DK35" s="13">
        <f t="shared" si="20"/>
        <v>81.216666666666669</v>
      </c>
    </row>
    <row r="36" spans="1:115">
      <c r="A36">
        <v>35</v>
      </c>
      <c r="B36">
        <f>'DATA US'!B49</f>
        <v>222310032</v>
      </c>
      <c r="C36" t="str">
        <f>'DATA US'!F49</f>
        <v>BEKASI</v>
      </c>
      <c r="D36" s="37" t="str">
        <f>'DATA US'!G49</f>
        <v>21 Mei 2007</v>
      </c>
      <c r="E36" t="str">
        <f>'DATA US'!C49</f>
        <v>0076929544</v>
      </c>
      <c r="F36" t="str">
        <f>'DATA US'!D49</f>
        <v>ANDIKA SAPUTRA</v>
      </c>
      <c r="G36">
        <v>83</v>
      </c>
      <c r="H36">
        <v>84</v>
      </c>
      <c r="I36">
        <v>82</v>
      </c>
      <c r="J36">
        <v>86</v>
      </c>
      <c r="K36">
        <v>85</v>
      </c>
      <c r="L36">
        <v>86</v>
      </c>
      <c r="M36">
        <v>85</v>
      </c>
      <c r="N36">
        <v>83</v>
      </c>
      <c r="O36">
        <v>82</v>
      </c>
      <c r="P36">
        <v>83</v>
      </c>
      <c r="Q36">
        <v>84</v>
      </c>
      <c r="R36">
        <v>84</v>
      </c>
      <c r="S36">
        <v>81</v>
      </c>
      <c r="T36">
        <v>85</v>
      </c>
      <c r="U36">
        <v>87</v>
      </c>
      <c r="V36">
        <v>88</v>
      </c>
      <c r="W36">
        <v>86</v>
      </c>
      <c r="X36">
        <v>92</v>
      </c>
      <c r="Y36">
        <v>75</v>
      </c>
      <c r="Z36">
        <v>81</v>
      </c>
      <c r="AA36">
        <v>79</v>
      </c>
      <c r="AB36">
        <v>80</v>
      </c>
      <c r="AC36">
        <v>81</v>
      </c>
      <c r="AD36">
        <v>87</v>
      </c>
      <c r="AE36">
        <v>81</v>
      </c>
      <c r="AF36">
        <v>82</v>
      </c>
      <c r="AG36">
        <v>84</v>
      </c>
      <c r="AH36">
        <v>85</v>
      </c>
      <c r="AI36">
        <v>92</v>
      </c>
      <c r="AJ36">
        <v>92</v>
      </c>
      <c r="AK36">
        <v>87</v>
      </c>
      <c r="AL36">
        <v>85</v>
      </c>
      <c r="AP36" t="s">
        <v>992</v>
      </c>
      <c r="AQ36">
        <v>83</v>
      </c>
      <c r="AR36">
        <v>81</v>
      </c>
      <c r="AS36">
        <v>81</v>
      </c>
      <c r="AT36">
        <v>80</v>
      </c>
      <c r="AU36">
        <v>88</v>
      </c>
      <c r="AV36">
        <v>85</v>
      </c>
      <c r="AW36">
        <v>81</v>
      </c>
      <c r="AX36">
        <v>84</v>
      </c>
      <c r="AY36">
        <v>83</v>
      </c>
      <c r="AZ36">
        <v>84</v>
      </c>
      <c r="BA36">
        <v>84</v>
      </c>
      <c r="BB36">
        <v>84</v>
      </c>
      <c r="BC36">
        <v>81</v>
      </c>
      <c r="BD36">
        <v>86</v>
      </c>
      <c r="BE36">
        <v>82</v>
      </c>
      <c r="BF36">
        <v>80</v>
      </c>
      <c r="BG36">
        <v>80</v>
      </c>
      <c r="BH36">
        <v>82</v>
      </c>
      <c r="BI36">
        <v>85</v>
      </c>
      <c r="BJ36">
        <v>83</v>
      </c>
      <c r="BK36">
        <v>83</v>
      </c>
      <c r="BL36">
        <v>90</v>
      </c>
      <c r="BM36">
        <v>85</v>
      </c>
      <c r="BN36">
        <v>84</v>
      </c>
      <c r="BO36">
        <v>86</v>
      </c>
      <c r="BP36">
        <v>86</v>
      </c>
      <c r="BQ36">
        <v>83</v>
      </c>
      <c r="BR36">
        <v>83</v>
      </c>
      <c r="BS36">
        <v>86</v>
      </c>
      <c r="BT36">
        <v>86</v>
      </c>
      <c r="BU36">
        <v>85</v>
      </c>
      <c r="BV36">
        <v>87</v>
      </c>
      <c r="BW36">
        <v>84</v>
      </c>
      <c r="BX36">
        <v>86</v>
      </c>
      <c r="BY36">
        <v>87</v>
      </c>
      <c r="BZ36">
        <v>88</v>
      </c>
      <c r="CA36">
        <v>85</v>
      </c>
      <c r="CB36">
        <v>84</v>
      </c>
      <c r="CC36" s="19" t="s">
        <v>997</v>
      </c>
      <c r="CD36" s="19" t="s">
        <v>1049</v>
      </c>
      <c r="CE36" s="43" t="s">
        <v>1050</v>
      </c>
      <c r="CF36" s="19" t="s">
        <v>996</v>
      </c>
      <c r="CJ36" s="19"/>
      <c r="CK36" s="13">
        <v>92.3333333333333</v>
      </c>
      <c r="CL36">
        <v>84</v>
      </c>
      <c r="CM36">
        <v>91</v>
      </c>
      <c r="CN36">
        <v>89</v>
      </c>
      <c r="CO36" s="13">
        <v>82</v>
      </c>
      <c r="CP36" s="13">
        <v>86.9444444444444</v>
      </c>
      <c r="CQ36" s="13">
        <f t="shared" si="0"/>
        <v>84.333333333333329</v>
      </c>
      <c r="CR36" s="13">
        <f t="shared" si="1"/>
        <v>83.5</v>
      </c>
      <c r="CS36" s="13">
        <f t="shared" si="2"/>
        <v>80.5</v>
      </c>
      <c r="CT36" s="13">
        <f t="shared" si="3"/>
        <v>86.5</v>
      </c>
      <c r="CU36" s="13">
        <f t="shared" si="4"/>
        <v>86</v>
      </c>
      <c r="CV36" s="13">
        <f t="shared" si="5"/>
        <v>82</v>
      </c>
      <c r="CW36" s="13">
        <f t="shared" si="6"/>
        <v>83.5</v>
      </c>
      <c r="CX36" s="13">
        <f t="shared" si="7"/>
        <v>84.5</v>
      </c>
      <c r="CY36" s="13">
        <f t="shared" si="8"/>
        <v>84</v>
      </c>
      <c r="CZ36" s="13">
        <f t="shared" si="9"/>
        <v>83.5</v>
      </c>
      <c r="DA36" s="13">
        <f t="shared" si="10"/>
        <v>82.5</v>
      </c>
      <c r="DB36" s="13">
        <f t="shared" si="11"/>
        <v>81</v>
      </c>
      <c r="DC36" s="13">
        <f t="shared" si="12"/>
        <v>81</v>
      </c>
      <c r="DD36" s="13">
        <f t="shared" si="13"/>
        <v>83.5</v>
      </c>
      <c r="DE36" s="13">
        <f t="shared" si="14"/>
        <v>85.25</v>
      </c>
      <c r="DF36" s="13">
        <f t="shared" si="15"/>
        <v>85.25</v>
      </c>
      <c r="DG36" s="13">
        <f t="shared" si="16"/>
        <v>84.5</v>
      </c>
      <c r="DH36" s="13">
        <f t="shared" si="17"/>
        <v>86.25</v>
      </c>
      <c r="DI36" s="13">
        <f t="shared" si="18"/>
        <v>86</v>
      </c>
      <c r="DJ36" s="13">
        <f t="shared" si="19"/>
        <v>86</v>
      </c>
      <c r="DK36" s="13">
        <f t="shared" si="20"/>
        <v>83.979166666666657</v>
      </c>
    </row>
    <row r="37" spans="1:115">
      <c r="A37">
        <v>36</v>
      </c>
      <c r="B37">
        <f>'DATA US'!B50</f>
        <v>222310033</v>
      </c>
      <c r="C37" t="str">
        <f>'DATA US'!F50</f>
        <v>BEKASI</v>
      </c>
      <c r="D37" s="37" t="str">
        <f>'DATA US'!G50</f>
        <v>18 Juli 2006</v>
      </c>
      <c r="E37" t="str">
        <f>'DATA US'!C50</f>
        <v>0061065498</v>
      </c>
      <c r="F37" t="str">
        <f>'DATA US'!D50</f>
        <v>ARFHANSYAH PUTRA</v>
      </c>
      <c r="G37">
        <v>80</v>
      </c>
      <c r="H37">
        <v>78</v>
      </c>
      <c r="I37">
        <v>82</v>
      </c>
      <c r="J37">
        <v>80</v>
      </c>
      <c r="K37">
        <v>83</v>
      </c>
      <c r="L37">
        <v>84</v>
      </c>
      <c r="M37">
        <v>82</v>
      </c>
      <c r="N37">
        <v>82</v>
      </c>
      <c r="O37">
        <v>82</v>
      </c>
      <c r="P37">
        <v>80</v>
      </c>
      <c r="Q37">
        <v>81</v>
      </c>
      <c r="R37">
        <v>81</v>
      </c>
      <c r="S37">
        <v>80</v>
      </c>
      <c r="T37">
        <v>81</v>
      </c>
      <c r="U37">
        <v>86</v>
      </c>
      <c r="V37">
        <v>86</v>
      </c>
      <c r="W37">
        <v>85</v>
      </c>
      <c r="X37">
        <v>89</v>
      </c>
      <c r="Y37">
        <v>75</v>
      </c>
      <c r="Z37">
        <v>79</v>
      </c>
      <c r="AA37">
        <v>78</v>
      </c>
      <c r="AB37">
        <v>80</v>
      </c>
      <c r="AC37">
        <v>80</v>
      </c>
      <c r="AD37">
        <v>88</v>
      </c>
      <c r="AE37">
        <v>76</v>
      </c>
      <c r="AF37">
        <v>77</v>
      </c>
      <c r="AG37">
        <v>82</v>
      </c>
      <c r="AH37">
        <v>81</v>
      </c>
      <c r="AI37">
        <v>85</v>
      </c>
      <c r="AJ37">
        <v>85</v>
      </c>
      <c r="AK37">
        <v>85</v>
      </c>
      <c r="AL37">
        <v>83</v>
      </c>
      <c r="AP37" t="s">
        <v>992</v>
      </c>
      <c r="AQ37">
        <v>82</v>
      </c>
      <c r="AR37">
        <v>80</v>
      </c>
      <c r="AS37">
        <v>80</v>
      </c>
      <c r="AT37">
        <v>79</v>
      </c>
      <c r="AU37">
        <v>84</v>
      </c>
      <c r="AV37">
        <v>81</v>
      </c>
      <c r="AW37">
        <v>77</v>
      </c>
      <c r="AX37">
        <v>79</v>
      </c>
      <c r="AY37">
        <v>83</v>
      </c>
      <c r="AZ37">
        <v>83</v>
      </c>
      <c r="BA37">
        <v>83</v>
      </c>
      <c r="BB37">
        <v>82</v>
      </c>
      <c r="BC37">
        <v>77</v>
      </c>
      <c r="BD37">
        <v>83</v>
      </c>
      <c r="BE37">
        <v>83</v>
      </c>
      <c r="BF37">
        <v>80</v>
      </c>
      <c r="BG37">
        <v>80</v>
      </c>
      <c r="BH37">
        <v>83</v>
      </c>
      <c r="BI37">
        <v>79</v>
      </c>
      <c r="BJ37">
        <v>81</v>
      </c>
      <c r="BK37">
        <v>82</v>
      </c>
      <c r="BL37">
        <v>90</v>
      </c>
      <c r="BM37">
        <v>79</v>
      </c>
      <c r="BN37">
        <v>81</v>
      </c>
      <c r="BO37">
        <v>87</v>
      </c>
      <c r="BP37">
        <v>87</v>
      </c>
      <c r="BQ37">
        <v>81</v>
      </c>
      <c r="BR37">
        <v>82</v>
      </c>
      <c r="BS37">
        <v>83</v>
      </c>
      <c r="BT37">
        <v>85</v>
      </c>
      <c r="BU37">
        <v>80</v>
      </c>
      <c r="BV37">
        <v>80</v>
      </c>
      <c r="BW37">
        <v>84</v>
      </c>
      <c r="BX37">
        <v>84</v>
      </c>
      <c r="BY37">
        <v>87</v>
      </c>
      <c r="BZ37">
        <v>87</v>
      </c>
      <c r="CA37">
        <v>83</v>
      </c>
      <c r="CB37">
        <v>86</v>
      </c>
      <c r="CC37" s="19" t="s">
        <v>1051</v>
      </c>
      <c r="CD37" s="19" t="s">
        <v>1052</v>
      </c>
      <c r="CE37" s="43" t="s">
        <v>1053</v>
      </c>
      <c r="CF37" s="19" t="s">
        <v>996</v>
      </c>
      <c r="CJ37" s="19"/>
      <c r="CK37" s="13">
        <v>89.3333333333333</v>
      </c>
      <c r="CL37">
        <v>83.6666666666667</v>
      </c>
      <c r="CM37">
        <v>80</v>
      </c>
      <c r="CN37">
        <v>87</v>
      </c>
      <c r="CO37" s="13">
        <v>81</v>
      </c>
      <c r="CP37" s="13">
        <v>87</v>
      </c>
      <c r="CQ37" s="13">
        <f t="shared" si="0"/>
        <v>81.166666666666671</v>
      </c>
      <c r="CR37" s="13">
        <f t="shared" si="1"/>
        <v>81.333333333333329</v>
      </c>
      <c r="CS37" s="13">
        <f t="shared" si="2"/>
        <v>80</v>
      </c>
      <c r="CT37" s="13">
        <f t="shared" si="3"/>
        <v>84.5</v>
      </c>
      <c r="CU37" s="13">
        <f t="shared" si="4"/>
        <v>81</v>
      </c>
      <c r="CV37" s="13">
        <f t="shared" si="5"/>
        <v>81</v>
      </c>
      <c r="CW37" s="13">
        <f t="shared" si="6"/>
        <v>81</v>
      </c>
      <c r="CX37" s="13">
        <f t="shared" si="7"/>
        <v>84.5</v>
      </c>
      <c r="CY37" s="13">
        <f t="shared" si="8"/>
        <v>82.5</v>
      </c>
      <c r="CZ37" s="13">
        <f t="shared" si="9"/>
        <v>83</v>
      </c>
      <c r="DA37" s="13">
        <f t="shared" si="10"/>
        <v>78</v>
      </c>
      <c r="DB37" s="13">
        <f t="shared" si="11"/>
        <v>81.5</v>
      </c>
      <c r="DC37" s="13">
        <f t="shared" si="12"/>
        <v>81.5</v>
      </c>
      <c r="DD37" s="13">
        <f t="shared" si="13"/>
        <v>80</v>
      </c>
      <c r="DE37" s="13">
        <f t="shared" si="14"/>
        <v>83</v>
      </c>
      <c r="DF37" s="13">
        <f t="shared" si="15"/>
        <v>83.5</v>
      </c>
      <c r="DG37" s="13">
        <f t="shared" si="16"/>
        <v>82.75</v>
      </c>
      <c r="DH37" s="13">
        <f t="shared" si="17"/>
        <v>85.5</v>
      </c>
      <c r="DI37" s="13">
        <f t="shared" si="18"/>
        <v>80</v>
      </c>
      <c r="DJ37" s="13">
        <f t="shared" si="19"/>
        <v>84</v>
      </c>
      <c r="DK37" s="13">
        <f t="shared" si="20"/>
        <v>81.987499999999997</v>
      </c>
    </row>
    <row r="38" spans="1:115">
      <c r="A38">
        <v>37</v>
      </c>
      <c r="B38">
        <f>'DATA US'!B51</f>
        <v>222310034</v>
      </c>
      <c r="C38" t="str">
        <f>'DATA US'!F51</f>
        <v>BEKASI</v>
      </c>
      <c r="D38" s="37">
        <f>'DATA US'!G51</f>
        <v>39176</v>
      </c>
      <c r="E38" t="str">
        <f>'DATA US'!C51</f>
        <v>0077550363</v>
      </c>
      <c r="F38" t="str">
        <f>'DATA US'!D51</f>
        <v>CAESAR DANDI TRI PERKASA</v>
      </c>
      <c r="G38">
        <v>80</v>
      </c>
      <c r="H38">
        <v>82</v>
      </c>
      <c r="I38">
        <v>84</v>
      </c>
      <c r="J38">
        <v>81</v>
      </c>
      <c r="K38">
        <v>83</v>
      </c>
      <c r="L38">
        <v>84</v>
      </c>
      <c r="M38">
        <v>81</v>
      </c>
      <c r="N38">
        <v>83</v>
      </c>
      <c r="O38">
        <v>83</v>
      </c>
      <c r="P38">
        <v>84</v>
      </c>
      <c r="Q38">
        <v>83</v>
      </c>
      <c r="R38">
        <v>83</v>
      </c>
      <c r="S38">
        <v>84</v>
      </c>
      <c r="T38">
        <v>82</v>
      </c>
      <c r="U38">
        <v>92</v>
      </c>
      <c r="V38">
        <v>92</v>
      </c>
      <c r="W38">
        <v>85</v>
      </c>
      <c r="X38">
        <v>90</v>
      </c>
      <c r="Y38">
        <v>76</v>
      </c>
      <c r="Z38">
        <v>77</v>
      </c>
      <c r="AA38">
        <v>78</v>
      </c>
      <c r="AB38">
        <v>82</v>
      </c>
      <c r="AC38">
        <v>82</v>
      </c>
      <c r="AD38">
        <v>87</v>
      </c>
      <c r="AE38">
        <v>79</v>
      </c>
      <c r="AF38">
        <v>78</v>
      </c>
      <c r="AG38">
        <v>86</v>
      </c>
      <c r="AH38">
        <v>86</v>
      </c>
      <c r="AI38">
        <v>88</v>
      </c>
      <c r="AJ38">
        <v>88</v>
      </c>
      <c r="AK38">
        <v>85</v>
      </c>
      <c r="AL38">
        <v>85</v>
      </c>
      <c r="AP38" t="s">
        <v>992</v>
      </c>
      <c r="AQ38">
        <v>83</v>
      </c>
      <c r="AR38">
        <v>81</v>
      </c>
      <c r="AS38">
        <v>80</v>
      </c>
      <c r="AT38">
        <v>79</v>
      </c>
      <c r="AU38">
        <v>84</v>
      </c>
      <c r="AV38">
        <v>81</v>
      </c>
      <c r="AW38">
        <v>78</v>
      </c>
      <c r="AX38">
        <v>84</v>
      </c>
      <c r="AY38">
        <v>83</v>
      </c>
      <c r="AZ38">
        <v>83</v>
      </c>
      <c r="BA38">
        <v>84</v>
      </c>
      <c r="BB38">
        <v>84</v>
      </c>
      <c r="BC38">
        <v>77</v>
      </c>
      <c r="BD38">
        <v>88</v>
      </c>
      <c r="BE38">
        <v>82</v>
      </c>
      <c r="BF38">
        <v>81</v>
      </c>
      <c r="BG38">
        <v>80</v>
      </c>
      <c r="BH38">
        <v>82</v>
      </c>
      <c r="BI38">
        <v>84</v>
      </c>
      <c r="BJ38">
        <v>83</v>
      </c>
      <c r="BK38">
        <v>82</v>
      </c>
      <c r="BL38">
        <v>90</v>
      </c>
      <c r="BM38">
        <v>84</v>
      </c>
      <c r="BN38">
        <v>83</v>
      </c>
      <c r="BO38">
        <v>84</v>
      </c>
      <c r="BP38">
        <v>84</v>
      </c>
      <c r="BQ38">
        <v>88</v>
      </c>
      <c r="BR38">
        <v>86</v>
      </c>
      <c r="BS38">
        <v>86</v>
      </c>
      <c r="BT38">
        <v>86</v>
      </c>
      <c r="BU38">
        <v>80</v>
      </c>
      <c r="BV38">
        <v>81</v>
      </c>
      <c r="BW38">
        <v>82</v>
      </c>
      <c r="BX38">
        <v>86</v>
      </c>
      <c r="BY38">
        <v>84</v>
      </c>
      <c r="BZ38">
        <v>84</v>
      </c>
      <c r="CA38">
        <v>81</v>
      </c>
      <c r="CB38">
        <v>82</v>
      </c>
      <c r="CC38" s="19" t="s">
        <v>1054</v>
      </c>
      <c r="CD38" s="19" t="s">
        <v>994</v>
      </c>
      <c r="CE38" s="43" t="s">
        <v>1034</v>
      </c>
      <c r="CF38" s="24" t="s">
        <v>996</v>
      </c>
      <c r="CG38" s="19" t="s">
        <v>1023</v>
      </c>
      <c r="CH38" s="19" t="s">
        <v>1024</v>
      </c>
      <c r="CI38" s="19" t="s">
        <v>1047</v>
      </c>
      <c r="CJ38" s="24" t="s">
        <v>996</v>
      </c>
      <c r="CK38" s="13">
        <v>89.6666666666667</v>
      </c>
      <c r="CL38">
        <v>85.3333333333333</v>
      </c>
      <c r="CM38">
        <v>96</v>
      </c>
      <c r="CN38">
        <v>84</v>
      </c>
      <c r="CO38" s="13">
        <v>82</v>
      </c>
      <c r="CP38" s="13">
        <v>90</v>
      </c>
      <c r="CQ38" s="13">
        <f t="shared" si="0"/>
        <v>82.333333333333329</v>
      </c>
      <c r="CR38" s="13">
        <f t="shared" si="1"/>
        <v>82.833333333333329</v>
      </c>
      <c r="CS38" s="13">
        <f t="shared" si="2"/>
        <v>80.333333333333329</v>
      </c>
      <c r="CT38" s="13">
        <f t="shared" si="3"/>
        <v>87.5</v>
      </c>
      <c r="CU38" s="13">
        <f t="shared" si="4"/>
        <v>84.166666666666671</v>
      </c>
      <c r="CV38" s="13">
        <f t="shared" si="5"/>
        <v>82</v>
      </c>
      <c r="CW38" s="13">
        <f t="shared" si="6"/>
        <v>81</v>
      </c>
      <c r="CX38" s="13">
        <f t="shared" si="7"/>
        <v>81.5</v>
      </c>
      <c r="CY38" s="13">
        <f t="shared" si="8"/>
        <v>84</v>
      </c>
      <c r="CZ38" s="13">
        <f t="shared" si="9"/>
        <v>83</v>
      </c>
      <c r="DA38" s="13">
        <f t="shared" si="10"/>
        <v>81</v>
      </c>
      <c r="DB38" s="13">
        <f t="shared" si="11"/>
        <v>81.5</v>
      </c>
      <c r="DC38" s="13">
        <f t="shared" si="12"/>
        <v>81</v>
      </c>
      <c r="DD38" s="13">
        <f t="shared" si="13"/>
        <v>82.5</v>
      </c>
      <c r="DE38" s="13">
        <f t="shared" si="14"/>
        <v>84.75</v>
      </c>
      <c r="DF38" s="13">
        <f t="shared" si="15"/>
        <v>83.75</v>
      </c>
      <c r="DG38" s="13">
        <f t="shared" si="16"/>
        <v>86.5</v>
      </c>
      <c r="DH38" s="13">
        <f t="shared" si="17"/>
        <v>84</v>
      </c>
      <c r="DI38" s="13">
        <f t="shared" si="18"/>
        <v>80.5</v>
      </c>
      <c r="DJ38" s="13">
        <f t="shared" si="19"/>
        <v>85</v>
      </c>
      <c r="DK38" s="13">
        <f t="shared" si="20"/>
        <v>82.958333333333343</v>
      </c>
    </row>
    <row r="39" spans="1:115">
      <c r="A39">
        <v>38</v>
      </c>
      <c r="B39">
        <f>'DATA US'!B52</f>
        <v>222310035</v>
      </c>
      <c r="C39" t="str">
        <f>'DATA US'!F52</f>
        <v>BEKASI</v>
      </c>
      <c r="D39" s="37" t="str">
        <f>'DATA US'!G52</f>
        <v xml:space="preserve"> 13 April 2007</v>
      </c>
      <c r="E39" t="str">
        <f>'DATA US'!C52</f>
        <v>0074682824</v>
      </c>
      <c r="F39" t="str">
        <f>'DATA US'!D52</f>
        <v>DIMAS RIMUNANDAR</v>
      </c>
      <c r="G39">
        <v>83</v>
      </c>
      <c r="H39">
        <v>84</v>
      </c>
      <c r="I39">
        <v>85</v>
      </c>
      <c r="J39">
        <v>85</v>
      </c>
      <c r="K39">
        <v>85</v>
      </c>
      <c r="L39">
        <v>86</v>
      </c>
      <c r="M39">
        <v>84</v>
      </c>
      <c r="N39">
        <v>83</v>
      </c>
      <c r="O39">
        <v>83</v>
      </c>
      <c r="P39">
        <v>83</v>
      </c>
      <c r="Q39">
        <v>83</v>
      </c>
      <c r="R39">
        <v>83</v>
      </c>
      <c r="S39">
        <v>80</v>
      </c>
      <c r="T39">
        <v>82</v>
      </c>
      <c r="U39">
        <v>92</v>
      </c>
      <c r="V39">
        <v>92</v>
      </c>
      <c r="W39">
        <v>85</v>
      </c>
      <c r="X39">
        <v>92</v>
      </c>
      <c r="Y39">
        <v>75</v>
      </c>
      <c r="Z39">
        <v>78</v>
      </c>
      <c r="AA39">
        <v>81</v>
      </c>
      <c r="AB39">
        <v>80</v>
      </c>
      <c r="AC39">
        <v>85</v>
      </c>
      <c r="AD39">
        <v>86</v>
      </c>
      <c r="AE39">
        <v>79</v>
      </c>
      <c r="AF39">
        <v>80</v>
      </c>
      <c r="AG39">
        <v>86</v>
      </c>
      <c r="AH39">
        <v>89</v>
      </c>
      <c r="AI39">
        <v>90</v>
      </c>
      <c r="AJ39">
        <v>90</v>
      </c>
      <c r="AK39">
        <v>86</v>
      </c>
      <c r="AL39">
        <v>84</v>
      </c>
      <c r="AP39" t="s">
        <v>992</v>
      </c>
      <c r="AQ39">
        <v>82</v>
      </c>
      <c r="AR39">
        <v>82</v>
      </c>
      <c r="AS39">
        <v>81</v>
      </c>
      <c r="AT39">
        <v>80</v>
      </c>
      <c r="AU39">
        <v>88</v>
      </c>
      <c r="AV39">
        <v>85</v>
      </c>
      <c r="AW39">
        <v>76</v>
      </c>
      <c r="AX39">
        <v>82</v>
      </c>
      <c r="AY39">
        <v>82</v>
      </c>
      <c r="AZ39">
        <v>82</v>
      </c>
      <c r="BA39">
        <v>83</v>
      </c>
      <c r="BB39">
        <v>81</v>
      </c>
      <c r="BC39">
        <v>84</v>
      </c>
      <c r="BD39">
        <v>86</v>
      </c>
      <c r="BE39">
        <v>82</v>
      </c>
      <c r="BF39">
        <v>81</v>
      </c>
      <c r="BG39">
        <v>78</v>
      </c>
      <c r="BH39">
        <v>82</v>
      </c>
      <c r="BI39">
        <v>84</v>
      </c>
      <c r="BJ39">
        <v>83</v>
      </c>
      <c r="BK39">
        <v>83</v>
      </c>
      <c r="BL39">
        <v>90</v>
      </c>
      <c r="BM39">
        <v>84</v>
      </c>
      <c r="BN39">
        <v>84</v>
      </c>
      <c r="BO39">
        <v>88</v>
      </c>
      <c r="BP39">
        <v>88</v>
      </c>
      <c r="BQ39">
        <v>80</v>
      </c>
      <c r="BR39">
        <v>83</v>
      </c>
      <c r="BS39">
        <v>87</v>
      </c>
      <c r="BT39">
        <v>87</v>
      </c>
      <c r="BU39">
        <v>87</v>
      </c>
      <c r="BV39">
        <v>88</v>
      </c>
      <c r="BW39">
        <v>84</v>
      </c>
      <c r="BX39">
        <v>85</v>
      </c>
      <c r="BY39">
        <v>80</v>
      </c>
      <c r="BZ39">
        <v>87</v>
      </c>
      <c r="CA39">
        <v>82</v>
      </c>
      <c r="CB39">
        <v>83</v>
      </c>
      <c r="CC39" s="19" t="s">
        <v>1005</v>
      </c>
      <c r="CD39" s="19" t="s">
        <v>994</v>
      </c>
      <c r="CE39" s="43" t="s">
        <v>1006</v>
      </c>
      <c r="CF39" s="19" t="s">
        <v>996</v>
      </c>
      <c r="CJ39" s="19"/>
      <c r="CK39" s="13">
        <v>91</v>
      </c>
      <c r="CL39">
        <v>84.3333333333333</v>
      </c>
      <c r="CM39">
        <v>82</v>
      </c>
      <c r="CN39">
        <v>89</v>
      </c>
      <c r="CO39" s="13">
        <v>82.25</v>
      </c>
      <c r="CP39" s="13">
        <v>90.6111111111111</v>
      </c>
      <c r="CQ39" s="13">
        <f t="shared" si="0"/>
        <v>84.666666666666671</v>
      </c>
      <c r="CR39" s="13">
        <f t="shared" si="1"/>
        <v>83.166666666666671</v>
      </c>
      <c r="CS39" s="13">
        <f t="shared" si="2"/>
        <v>80.833333333333329</v>
      </c>
      <c r="CT39" s="13">
        <f t="shared" si="3"/>
        <v>87.166666666666671</v>
      </c>
      <c r="CU39" s="13">
        <f t="shared" si="4"/>
        <v>85.666666666666671</v>
      </c>
      <c r="CV39" s="13">
        <f t="shared" si="5"/>
        <v>82</v>
      </c>
      <c r="CW39" s="13">
        <f t="shared" si="6"/>
        <v>83.5</v>
      </c>
      <c r="CX39" s="13">
        <f t="shared" si="7"/>
        <v>82.5</v>
      </c>
      <c r="CY39" s="13">
        <f t="shared" si="8"/>
        <v>82</v>
      </c>
      <c r="CZ39" s="13">
        <f t="shared" si="9"/>
        <v>82</v>
      </c>
      <c r="DA39" s="13">
        <f t="shared" si="10"/>
        <v>79</v>
      </c>
      <c r="DB39" s="13">
        <f t="shared" si="11"/>
        <v>81.5</v>
      </c>
      <c r="DC39" s="13">
        <f t="shared" si="12"/>
        <v>80</v>
      </c>
      <c r="DD39" s="13">
        <f t="shared" si="13"/>
        <v>85</v>
      </c>
      <c r="DE39" s="13">
        <f t="shared" si="14"/>
        <v>85</v>
      </c>
      <c r="DF39" s="13">
        <f t="shared" si="15"/>
        <v>86</v>
      </c>
      <c r="DG39" s="13">
        <f t="shared" si="16"/>
        <v>84.25</v>
      </c>
      <c r="DH39" s="13">
        <f t="shared" si="17"/>
        <v>84</v>
      </c>
      <c r="DI39" s="13">
        <f t="shared" si="18"/>
        <v>87.5</v>
      </c>
      <c r="DJ39" s="13">
        <f t="shared" si="19"/>
        <v>85</v>
      </c>
      <c r="DK39" s="13">
        <f t="shared" si="20"/>
        <v>83.537499999999994</v>
      </c>
    </row>
    <row r="40" spans="1:115">
      <c r="A40">
        <v>39</v>
      </c>
      <c r="B40">
        <f>'DATA US'!B53</f>
        <v>222310036</v>
      </c>
      <c r="C40" t="str">
        <f>'DATA US'!F53</f>
        <v>BEKASI</v>
      </c>
      <c r="D40" s="37" t="str">
        <f>'DATA US'!G53</f>
        <v>20 Maret 2007</v>
      </c>
      <c r="E40" t="str">
        <f>'DATA US'!C53</f>
        <v>0075646043</v>
      </c>
      <c r="F40" t="str">
        <f>'DATA US'!D53</f>
        <v>DINAR RADITIYA PRATAMA</v>
      </c>
      <c r="G40">
        <v>83</v>
      </c>
      <c r="H40">
        <v>80</v>
      </c>
      <c r="I40">
        <v>86</v>
      </c>
      <c r="J40">
        <v>80</v>
      </c>
      <c r="K40">
        <v>84</v>
      </c>
      <c r="L40">
        <v>87</v>
      </c>
      <c r="M40">
        <v>81</v>
      </c>
      <c r="N40">
        <v>81</v>
      </c>
      <c r="O40">
        <v>83</v>
      </c>
      <c r="P40">
        <v>83</v>
      </c>
      <c r="Q40">
        <v>83</v>
      </c>
      <c r="R40">
        <v>83</v>
      </c>
      <c r="S40">
        <v>84</v>
      </c>
      <c r="T40">
        <v>81</v>
      </c>
      <c r="U40">
        <v>88</v>
      </c>
      <c r="V40">
        <v>88</v>
      </c>
      <c r="W40">
        <v>85</v>
      </c>
      <c r="X40">
        <v>90</v>
      </c>
      <c r="Y40">
        <v>75</v>
      </c>
      <c r="Z40">
        <v>78</v>
      </c>
      <c r="AA40">
        <v>78</v>
      </c>
      <c r="AB40">
        <v>79</v>
      </c>
      <c r="AC40">
        <v>81</v>
      </c>
      <c r="AD40">
        <v>81</v>
      </c>
      <c r="AE40">
        <v>76</v>
      </c>
      <c r="AF40">
        <v>77</v>
      </c>
      <c r="AG40">
        <v>84</v>
      </c>
      <c r="AH40">
        <v>85</v>
      </c>
      <c r="AI40">
        <v>87</v>
      </c>
      <c r="AJ40">
        <v>87</v>
      </c>
      <c r="AK40">
        <v>82</v>
      </c>
      <c r="AL40">
        <v>80</v>
      </c>
      <c r="AP40" t="s">
        <v>992</v>
      </c>
      <c r="AQ40">
        <v>82</v>
      </c>
      <c r="AR40">
        <v>81</v>
      </c>
      <c r="AS40">
        <v>81</v>
      </c>
      <c r="AT40">
        <v>80</v>
      </c>
      <c r="AU40">
        <v>87</v>
      </c>
      <c r="AV40">
        <v>84</v>
      </c>
      <c r="AW40">
        <v>76</v>
      </c>
      <c r="AX40">
        <v>83</v>
      </c>
      <c r="AY40">
        <v>82</v>
      </c>
      <c r="AZ40">
        <v>82</v>
      </c>
      <c r="BA40">
        <v>82</v>
      </c>
      <c r="BB40">
        <v>81</v>
      </c>
      <c r="BC40">
        <v>76</v>
      </c>
      <c r="BD40">
        <v>80</v>
      </c>
      <c r="BE40">
        <v>81</v>
      </c>
      <c r="BF40">
        <v>78</v>
      </c>
      <c r="BG40">
        <v>77</v>
      </c>
      <c r="BH40">
        <v>81</v>
      </c>
      <c r="BI40">
        <v>80</v>
      </c>
      <c r="BJ40">
        <v>81</v>
      </c>
      <c r="BK40">
        <v>82</v>
      </c>
      <c r="BL40">
        <v>90</v>
      </c>
      <c r="BM40">
        <v>80</v>
      </c>
      <c r="BN40">
        <v>80</v>
      </c>
      <c r="BO40">
        <v>82</v>
      </c>
      <c r="BP40">
        <v>82</v>
      </c>
      <c r="BQ40">
        <v>83</v>
      </c>
      <c r="BR40">
        <v>83</v>
      </c>
      <c r="BS40">
        <v>87</v>
      </c>
      <c r="BT40">
        <v>86</v>
      </c>
      <c r="BU40">
        <v>80</v>
      </c>
      <c r="BV40">
        <v>82</v>
      </c>
      <c r="BW40">
        <v>81</v>
      </c>
      <c r="BX40">
        <v>86</v>
      </c>
      <c r="BY40">
        <v>82</v>
      </c>
      <c r="BZ40">
        <v>84</v>
      </c>
      <c r="CA40">
        <v>83</v>
      </c>
      <c r="CB40">
        <v>83</v>
      </c>
      <c r="CC40" s="19" t="s">
        <v>1033</v>
      </c>
      <c r="CD40" s="19" t="s">
        <v>994</v>
      </c>
      <c r="CE40" s="43" t="s">
        <v>1034</v>
      </c>
      <c r="CF40" s="24" t="s">
        <v>1000</v>
      </c>
      <c r="CG40" s="19" t="s">
        <v>1055</v>
      </c>
      <c r="CH40" s="19" t="s">
        <v>1013</v>
      </c>
      <c r="CI40" s="19" t="s">
        <v>1041</v>
      </c>
      <c r="CJ40" s="24" t="s">
        <v>1000</v>
      </c>
      <c r="CK40" s="13">
        <v>90.6666666666667</v>
      </c>
      <c r="CL40">
        <v>86</v>
      </c>
      <c r="CM40">
        <v>84</v>
      </c>
      <c r="CN40">
        <v>90</v>
      </c>
      <c r="CO40" s="13">
        <v>82.25</v>
      </c>
      <c r="CP40" s="13">
        <v>86.4444444444445</v>
      </c>
      <c r="CQ40" s="13">
        <f t="shared" si="0"/>
        <v>83.333333333333329</v>
      </c>
      <c r="CR40" s="13">
        <f t="shared" si="1"/>
        <v>82.333333333333329</v>
      </c>
      <c r="CS40" s="13">
        <f t="shared" si="2"/>
        <v>78.666666666666671</v>
      </c>
      <c r="CT40" s="13">
        <f t="shared" si="3"/>
        <v>86</v>
      </c>
      <c r="CU40" s="13">
        <f t="shared" si="4"/>
        <v>82.666666666666671</v>
      </c>
      <c r="CV40" s="13">
        <f t="shared" si="5"/>
        <v>81.5</v>
      </c>
      <c r="CW40" s="13">
        <f t="shared" si="6"/>
        <v>83</v>
      </c>
      <c r="CX40" s="13">
        <f t="shared" si="7"/>
        <v>83</v>
      </c>
      <c r="CY40" s="13">
        <f t="shared" si="8"/>
        <v>81.5</v>
      </c>
      <c r="CZ40" s="13">
        <f t="shared" si="9"/>
        <v>82</v>
      </c>
      <c r="DA40" s="13">
        <f t="shared" si="10"/>
        <v>79.5</v>
      </c>
      <c r="DB40" s="13">
        <f t="shared" si="11"/>
        <v>79.5</v>
      </c>
      <c r="DC40" s="13">
        <f t="shared" si="12"/>
        <v>79</v>
      </c>
      <c r="DD40" s="13">
        <f t="shared" si="13"/>
        <v>78</v>
      </c>
      <c r="DE40" s="13">
        <f t="shared" si="14"/>
        <v>83.25</v>
      </c>
      <c r="DF40" s="13">
        <f t="shared" si="15"/>
        <v>81</v>
      </c>
      <c r="DG40" s="13">
        <f t="shared" si="16"/>
        <v>84.75</v>
      </c>
      <c r="DH40" s="13">
        <f t="shared" si="17"/>
        <v>83.25</v>
      </c>
      <c r="DI40" s="13">
        <f t="shared" si="18"/>
        <v>81</v>
      </c>
      <c r="DJ40" s="13">
        <f t="shared" si="19"/>
        <v>81</v>
      </c>
      <c r="DK40" s="13">
        <f t="shared" si="20"/>
        <v>81.712500000000006</v>
      </c>
    </row>
    <row r="41" spans="1:115" ht="15.6">
      <c r="A41">
        <v>40</v>
      </c>
      <c r="B41">
        <f>'DATA US'!B54</f>
        <v>222310037</v>
      </c>
      <c r="C41" t="str">
        <f>'DATA US'!F54</f>
        <v>BEKASI</v>
      </c>
      <c r="D41" s="37" t="str">
        <f>'DATA US'!G54</f>
        <v>27 Maret 2007</v>
      </c>
      <c r="E41" t="str">
        <f>'DATA US'!C54</f>
        <v>0076987847</v>
      </c>
      <c r="F41" t="str">
        <f>'DATA US'!D54</f>
        <v>FAHMI SABILA SIDKI</v>
      </c>
      <c r="G41">
        <v>84</v>
      </c>
      <c r="H41">
        <v>83</v>
      </c>
      <c r="I41">
        <v>84</v>
      </c>
      <c r="J41">
        <v>80</v>
      </c>
      <c r="K41">
        <v>86</v>
      </c>
      <c r="L41">
        <v>88</v>
      </c>
      <c r="M41">
        <v>80</v>
      </c>
      <c r="N41">
        <v>80</v>
      </c>
      <c r="O41">
        <v>80</v>
      </c>
      <c r="P41">
        <v>80</v>
      </c>
      <c r="Q41">
        <v>81</v>
      </c>
      <c r="R41">
        <v>81</v>
      </c>
      <c r="S41">
        <v>79</v>
      </c>
      <c r="T41">
        <v>81</v>
      </c>
      <c r="U41">
        <v>82</v>
      </c>
      <c r="V41">
        <v>83</v>
      </c>
      <c r="W41">
        <v>82</v>
      </c>
      <c r="X41">
        <v>90</v>
      </c>
      <c r="Y41">
        <v>75</v>
      </c>
      <c r="Z41">
        <v>78</v>
      </c>
      <c r="AA41">
        <v>78</v>
      </c>
      <c r="AB41">
        <v>79</v>
      </c>
      <c r="AC41">
        <v>87</v>
      </c>
      <c r="AD41">
        <v>90</v>
      </c>
      <c r="AE41">
        <v>76</v>
      </c>
      <c r="AF41">
        <v>76</v>
      </c>
      <c r="AG41">
        <v>80</v>
      </c>
      <c r="AH41">
        <v>82</v>
      </c>
      <c r="AI41">
        <v>85</v>
      </c>
      <c r="AJ41">
        <v>85</v>
      </c>
      <c r="AK41">
        <v>80</v>
      </c>
      <c r="AL41">
        <v>81</v>
      </c>
      <c r="AP41" t="s">
        <v>992</v>
      </c>
      <c r="AQ41">
        <v>82</v>
      </c>
      <c r="AR41">
        <v>76</v>
      </c>
      <c r="AS41">
        <v>81</v>
      </c>
      <c r="AT41">
        <v>80</v>
      </c>
      <c r="AU41">
        <v>87</v>
      </c>
      <c r="AV41">
        <v>85</v>
      </c>
      <c r="AW41">
        <v>76</v>
      </c>
      <c r="AX41">
        <v>78</v>
      </c>
      <c r="AY41">
        <v>81</v>
      </c>
      <c r="AZ41">
        <v>81</v>
      </c>
      <c r="BA41">
        <v>82</v>
      </c>
      <c r="BB41">
        <v>81</v>
      </c>
      <c r="BC41">
        <v>76</v>
      </c>
      <c r="BD41">
        <v>66</v>
      </c>
      <c r="BE41">
        <v>82</v>
      </c>
      <c r="BF41">
        <v>80</v>
      </c>
      <c r="BG41">
        <v>77</v>
      </c>
      <c r="BH41">
        <v>82</v>
      </c>
      <c r="BI41">
        <v>79</v>
      </c>
      <c r="BJ41">
        <v>80</v>
      </c>
      <c r="BK41">
        <v>82</v>
      </c>
      <c r="BL41">
        <v>90</v>
      </c>
      <c r="BM41">
        <v>79</v>
      </c>
      <c r="BN41">
        <v>80</v>
      </c>
      <c r="BO41">
        <v>83</v>
      </c>
      <c r="BP41">
        <v>83</v>
      </c>
      <c r="BQ41">
        <v>80</v>
      </c>
      <c r="BR41">
        <v>80</v>
      </c>
      <c r="BS41">
        <v>82</v>
      </c>
      <c r="BT41">
        <v>81</v>
      </c>
      <c r="BU41">
        <v>80</v>
      </c>
      <c r="BV41">
        <v>81</v>
      </c>
      <c r="BW41">
        <v>80</v>
      </c>
      <c r="BX41">
        <v>83</v>
      </c>
      <c r="BY41">
        <v>82</v>
      </c>
      <c r="BZ41">
        <v>83</v>
      </c>
      <c r="CA41">
        <v>80</v>
      </c>
      <c r="CB41">
        <v>80</v>
      </c>
      <c r="CC41" s="19" t="s">
        <v>1001</v>
      </c>
      <c r="CD41" s="44" t="s">
        <v>1036</v>
      </c>
      <c r="CE41" s="36" t="s">
        <v>1004</v>
      </c>
      <c r="CF41" s="19" t="s">
        <v>996</v>
      </c>
      <c r="CJ41" s="19"/>
      <c r="CK41" s="13">
        <v>90</v>
      </c>
      <c r="CL41">
        <v>86.6666666666667</v>
      </c>
      <c r="CM41">
        <v>82</v>
      </c>
      <c r="CN41">
        <v>85</v>
      </c>
      <c r="CO41" s="13">
        <v>82</v>
      </c>
      <c r="CP41" s="13">
        <v>90.3888888888889</v>
      </c>
      <c r="CQ41" s="13">
        <f t="shared" si="0"/>
        <v>84.166666666666671</v>
      </c>
      <c r="CR41" s="13">
        <f t="shared" si="1"/>
        <v>80.333333333333329</v>
      </c>
      <c r="CS41" s="13">
        <f t="shared" si="2"/>
        <v>81.166666666666671</v>
      </c>
      <c r="CT41" s="13">
        <f t="shared" si="3"/>
        <v>82.833333333333329</v>
      </c>
      <c r="CU41" s="13">
        <f t="shared" si="4"/>
        <v>80.666666666666671</v>
      </c>
      <c r="CV41" s="13">
        <f t="shared" si="5"/>
        <v>79</v>
      </c>
      <c r="CW41" s="13">
        <f t="shared" si="6"/>
        <v>83.25</v>
      </c>
      <c r="CX41" s="13">
        <f t="shared" si="7"/>
        <v>80</v>
      </c>
      <c r="CY41" s="13">
        <f t="shared" si="8"/>
        <v>81.5</v>
      </c>
      <c r="CZ41" s="13">
        <f t="shared" si="9"/>
        <v>81</v>
      </c>
      <c r="DA41" s="13">
        <f t="shared" si="10"/>
        <v>77</v>
      </c>
      <c r="DB41" s="13">
        <f t="shared" si="11"/>
        <v>81</v>
      </c>
      <c r="DC41" s="13">
        <f t="shared" si="12"/>
        <v>79.5</v>
      </c>
      <c r="DD41" s="13">
        <f t="shared" si="13"/>
        <v>71</v>
      </c>
      <c r="DE41" s="13">
        <f t="shared" si="14"/>
        <v>82.75</v>
      </c>
      <c r="DF41" s="13">
        <f t="shared" si="15"/>
        <v>81.25</v>
      </c>
      <c r="DG41" s="13">
        <f t="shared" si="16"/>
        <v>80.75</v>
      </c>
      <c r="DH41" s="13">
        <f t="shared" si="17"/>
        <v>82</v>
      </c>
      <c r="DI41" s="13">
        <f t="shared" si="18"/>
        <v>80.5</v>
      </c>
      <c r="DJ41" s="13">
        <f t="shared" si="19"/>
        <v>80.5</v>
      </c>
      <c r="DK41" s="13">
        <f t="shared" si="20"/>
        <v>80.50833333333334</v>
      </c>
    </row>
    <row r="42" spans="1:115">
      <c r="A42">
        <v>41</v>
      </c>
      <c r="B42">
        <f>'DATA US'!B55</f>
        <v>222310038</v>
      </c>
      <c r="C42" t="str">
        <f>'DATA US'!F55</f>
        <v>BANTUL</v>
      </c>
      <c r="D42" s="37" t="str">
        <f>'DATA US'!G55</f>
        <v>29 Juli 2007</v>
      </c>
      <c r="E42" t="str">
        <f>'DATA US'!C55</f>
        <v>0076325232</v>
      </c>
      <c r="F42" t="str">
        <f>'DATA US'!D55</f>
        <v>FENDI LATIF HENANTA</v>
      </c>
      <c r="G42">
        <v>81</v>
      </c>
      <c r="H42">
        <v>79</v>
      </c>
      <c r="I42">
        <v>81</v>
      </c>
      <c r="J42">
        <v>82</v>
      </c>
      <c r="K42">
        <v>84</v>
      </c>
      <c r="L42">
        <v>85</v>
      </c>
      <c r="M42">
        <v>84</v>
      </c>
      <c r="N42">
        <v>83</v>
      </c>
      <c r="O42">
        <v>83</v>
      </c>
      <c r="P42">
        <v>84</v>
      </c>
      <c r="Q42">
        <v>84</v>
      </c>
      <c r="R42">
        <v>84</v>
      </c>
      <c r="S42">
        <v>79</v>
      </c>
      <c r="T42">
        <v>86</v>
      </c>
      <c r="U42">
        <v>89</v>
      </c>
      <c r="V42">
        <v>90</v>
      </c>
      <c r="W42">
        <v>85</v>
      </c>
      <c r="X42">
        <v>90</v>
      </c>
      <c r="Y42">
        <v>75</v>
      </c>
      <c r="Z42">
        <v>77</v>
      </c>
      <c r="AA42">
        <v>80</v>
      </c>
      <c r="AB42">
        <v>79</v>
      </c>
      <c r="AC42">
        <v>85</v>
      </c>
      <c r="AD42">
        <v>87</v>
      </c>
      <c r="AE42">
        <v>83</v>
      </c>
      <c r="AF42">
        <v>80</v>
      </c>
      <c r="AG42">
        <v>85</v>
      </c>
      <c r="AH42">
        <v>90</v>
      </c>
      <c r="AI42">
        <v>88</v>
      </c>
      <c r="AJ42">
        <v>88</v>
      </c>
      <c r="AK42">
        <v>84</v>
      </c>
      <c r="AL42">
        <v>85</v>
      </c>
      <c r="AP42" t="s">
        <v>992</v>
      </c>
      <c r="AQ42">
        <v>82</v>
      </c>
      <c r="AR42">
        <v>81</v>
      </c>
      <c r="AS42">
        <v>80</v>
      </c>
      <c r="AT42">
        <v>79</v>
      </c>
      <c r="AU42">
        <v>88</v>
      </c>
      <c r="AV42">
        <v>85</v>
      </c>
      <c r="AW42">
        <v>80</v>
      </c>
      <c r="AX42">
        <v>80</v>
      </c>
      <c r="AY42">
        <v>86</v>
      </c>
      <c r="AZ42">
        <v>82</v>
      </c>
      <c r="BA42">
        <v>86</v>
      </c>
      <c r="BB42">
        <v>83</v>
      </c>
      <c r="BC42">
        <v>79</v>
      </c>
      <c r="BD42">
        <v>79</v>
      </c>
      <c r="BE42">
        <v>82</v>
      </c>
      <c r="BF42">
        <v>81</v>
      </c>
      <c r="BG42">
        <v>80</v>
      </c>
      <c r="BH42">
        <v>82</v>
      </c>
      <c r="BI42">
        <v>85</v>
      </c>
      <c r="BJ42">
        <v>87</v>
      </c>
      <c r="BK42">
        <v>82</v>
      </c>
      <c r="BL42">
        <v>90</v>
      </c>
      <c r="BM42">
        <v>85</v>
      </c>
      <c r="BN42">
        <v>87</v>
      </c>
      <c r="BO42">
        <v>88</v>
      </c>
      <c r="BP42">
        <v>88</v>
      </c>
      <c r="BQ42">
        <v>88</v>
      </c>
      <c r="BR42">
        <v>85</v>
      </c>
      <c r="BS42">
        <v>87</v>
      </c>
      <c r="BT42">
        <v>87</v>
      </c>
      <c r="BU42">
        <v>81</v>
      </c>
      <c r="BV42">
        <v>83</v>
      </c>
      <c r="BW42">
        <v>83</v>
      </c>
      <c r="BX42">
        <v>84</v>
      </c>
      <c r="BY42">
        <v>87</v>
      </c>
      <c r="BZ42">
        <v>87</v>
      </c>
      <c r="CA42">
        <v>84</v>
      </c>
      <c r="CB42">
        <v>84</v>
      </c>
      <c r="CC42" s="19" t="s">
        <v>1033</v>
      </c>
      <c r="CD42" s="19" t="s">
        <v>994</v>
      </c>
      <c r="CE42" s="43" t="s">
        <v>1056</v>
      </c>
      <c r="CF42" s="19" t="s">
        <v>996</v>
      </c>
      <c r="CJ42" s="19"/>
      <c r="CK42" s="13">
        <v>91</v>
      </c>
      <c r="CL42">
        <v>85</v>
      </c>
      <c r="CM42">
        <v>81</v>
      </c>
      <c r="CN42">
        <v>84</v>
      </c>
      <c r="CO42" s="13">
        <v>82.5</v>
      </c>
      <c r="CP42" s="13">
        <v>89.8611111111111</v>
      </c>
      <c r="CQ42" s="13">
        <f t="shared" si="0"/>
        <v>82</v>
      </c>
      <c r="CR42" s="13">
        <f t="shared" si="1"/>
        <v>83.666666666666671</v>
      </c>
      <c r="CS42" s="13">
        <f t="shared" si="2"/>
        <v>80.5</v>
      </c>
      <c r="CT42" s="13">
        <f t="shared" si="3"/>
        <v>86.5</v>
      </c>
      <c r="CU42" s="13">
        <f t="shared" si="4"/>
        <v>85.666666666666671</v>
      </c>
      <c r="CV42" s="13">
        <f t="shared" si="5"/>
        <v>81.5</v>
      </c>
      <c r="CW42" s="13">
        <f t="shared" si="6"/>
        <v>83</v>
      </c>
      <c r="CX42" s="13">
        <f t="shared" si="7"/>
        <v>84</v>
      </c>
      <c r="CY42" s="13">
        <f t="shared" si="8"/>
        <v>84.5</v>
      </c>
      <c r="CZ42" s="13">
        <f t="shared" si="9"/>
        <v>84</v>
      </c>
      <c r="DA42" s="13">
        <f t="shared" si="10"/>
        <v>80</v>
      </c>
      <c r="DB42" s="13">
        <f t="shared" si="11"/>
        <v>81.5</v>
      </c>
      <c r="DC42" s="13">
        <f t="shared" si="12"/>
        <v>81</v>
      </c>
      <c r="DD42" s="13">
        <f t="shared" si="13"/>
        <v>79</v>
      </c>
      <c r="DE42" s="13">
        <f t="shared" si="14"/>
        <v>86</v>
      </c>
      <c r="DF42" s="13">
        <f t="shared" si="15"/>
        <v>87</v>
      </c>
      <c r="DG42" s="13">
        <f t="shared" si="16"/>
        <v>86.75</v>
      </c>
      <c r="DH42" s="13">
        <f t="shared" si="17"/>
        <v>85.25</v>
      </c>
      <c r="DI42" s="13">
        <f t="shared" si="18"/>
        <v>82</v>
      </c>
      <c r="DJ42" s="13">
        <f t="shared" si="19"/>
        <v>84.5</v>
      </c>
      <c r="DK42" s="13">
        <f t="shared" si="20"/>
        <v>83.416666666666671</v>
      </c>
    </row>
    <row r="43" spans="1:115">
      <c r="A43">
        <v>42</v>
      </c>
      <c r="B43">
        <f>'DATA US'!B56</f>
        <v>222310039</v>
      </c>
      <c r="C43" t="str">
        <f>'DATA US'!F56</f>
        <v>BANTUL</v>
      </c>
      <c r="D43" s="37" t="str">
        <f>'DATA US'!G56</f>
        <v>29 Juli 2007</v>
      </c>
      <c r="E43" t="str">
        <f>'DATA US'!C56</f>
        <v>0072890752</v>
      </c>
      <c r="F43" t="str">
        <f>'DATA US'!D56</f>
        <v>FERDI LATIF HENANTA</v>
      </c>
      <c r="G43">
        <v>82</v>
      </c>
      <c r="H43">
        <v>80</v>
      </c>
      <c r="I43">
        <v>83</v>
      </c>
      <c r="J43">
        <v>83</v>
      </c>
      <c r="K43">
        <v>83</v>
      </c>
      <c r="L43">
        <v>85</v>
      </c>
      <c r="M43">
        <v>84</v>
      </c>
      <c r="N43">
        <v>85</v>
      </c>
      <c r="O43">
        <v>83</v>
      </c>
      <c r="P43">
        <v>84</v>
      </c>
      <c r="Q43">
        <v>84</v>
      </c>
      <c r="R43">
        <v>84</v>
      </c>
      <c r="S43">
        <v>79</v>
      </c>
      <c r="T43">
        <v>86</v>
      </c>
      <c r="U43">
        <v>88</v>
      </c>
      <c r="V43">
        <v>88</v>
      </c>
      <c r="W43">
        <v>85</v>
      </c>
      <c r="X43">
        <v>90</v>
      </c>
      <c r="Y43">
        <v>76</v>
      </c>
      <c r="Z43">
        <v>76</v>
      </c>
      <c r="AA43">
        <v>81</v>
      </c>
      <c r="AB43">
        <v>80</v>
      </c>
      <c r="AC43">
        <v>81</v>
      </c>
      <c r="AD43">
        <v>84</v>
      </c>
      <c r="AE43">
        <v>82</v>
      </c>
      <c r="AF43">
        <v>78</v>
      </c>
      <c r="AG43">
        <v>86</v>
      </c>
      <c r="AH43">
        <v>86</v>
      </c>
      <c r="AI43">
        <v>95</v>
      </c>
      <c r="AJ43">
        <v>95</v>
      </c>
      <c r="AK43">
        <v>85</v>
      </c>
      <c r="AL43">
        <v>84</v>
      </c>
      <c r="AP43" t="s">
        <v>992</v>
      </c>
      <c r="AQ43">
        <v>83</v>
      </c>
      <c r="AR43">
        <v>82</v>
      </c>
      <c r="AS43">
        <v>80</v>
      </c>
      <c r="AT43">
        <v>79</v>
      </c>
      <c r="AU43">
        <v>85</v>
      </c>
      <c r="AV43">
        <v>82</v>
      </c>
      <c r="AW43">
        <v>79</v>
      </c>
      <c r="AX43">
        <v>83</v>
      </c>
      <c r="AY43">
        <v>84</v>
      </c>
      <c r="AZ43">
        <v>83</v>
      </c>
      <c r="BA43">
        <v>86</v>
      </c>
      <c r="BB43">
        <v>83</v>
      </c>
      <c r="BC43">
        <v>84</v>
      </c>
      <c r="BD43">
        <v>80</v>
      </c>
      <c r="BE43">
        <v>82</v>
      </c>
      <c r="BF43">
        <v>81</v>
      </c>
      <c r="BG43">
        <v>79</v>
      </c>
      <c r="BH43">
        <v>82</v>
      </c>
      <c r="BI43">
        <v>85</v>
      </c>
      <c r="BJ43">
        <v>87</v>
      </c>
      <c r="BK43">
        <v>82</v>
      </c>
      <c r="BL43">
        <v>90</v>
      </c>
      <c r="BM43">
        <v>86</v>
      </c>
      <c r="BN43">
        <v>87</v>
      </c>
      <c r="BO43">
        <v>88</v>
      </c>
      <c r="BP43">
        <v>88</v>
      </c>
      <c r="BQ43">
        <v>86</v>
      </c>
      <c r="BR43">
        <v>84</v>
      </c>
      <c r="BS43">
        <v>87</v>
      </c>
      <c r="BT43">
        <v>87</v>
      </c>
      <c r="BU43">
        <v>81</v>
      </c>
      <c r="BV43">
        <v>83</v>
      </c>
      <c r="BW43">
        <v>85</v>
      </c>
      <c r="BX43">
        <v>85</v>
      </c>
      <c r="BY43">
        <v>87</v>
      </c>
      <c r="BZ43">
        <v>87</v>
      </c>
      <c r="CA43">
        <v>84</v>
      </c>
      <c r="CB43">
        <v>83</v>
      </c>
      <c r="CC43" s="19" t="s">
        <v>993</v>
      </c>
      <c r="CD43" s="19" t="s">
        <v>994</v>
      </c>
      <c r="CE43" s="43" t="s">
        <v>1057</v>
      </c>
      <c r="CF43" s="19" t="s">
        <v>996</v>
      </c>
      <c r="CJ43" s="19"/>
      <c r="CK43" s="13">
        <v>91</v>
      </c>
      <c r="CL43">
        <v>84.3333333333333</v>
      </c>
      <c r="CM43">
        <v>95</v>
      </c>
      <c r="CN43">
        <v>85</v>
      </c>
      <c r="CO43" s="13">
        <v>82.5</v>
      </c>
      <c r="CP43" s="13">
        <v>89.8611111111111</v>
      </c>
      <c r="CQ43" s="13">
        <f t="shared" si="0"/>
        <v>82.666666666666671</v>
      </c>
      <c r="CR43" s="13">
        <f t="shared" si="1"/>
        <v>84</v>
      </c>
      <c r="CS43" s="13">
        <f t="shared" si="2"/>
        <v>79.666666666666671</v>
      </c>
      <c r="CT43" s="13">
        <f t="shared" si="3"/>
        <v>86</v>
      </c>
      <c r="CU43" s="13">
        <f t="shared" si="4"/>
        <v>87</v>
      </c>
      <c r="CV43" s="13">
        <f t="shared" si="5"/>
        <v>82.5</v>
      </c>
      <c r="CW43" s="13">
        <f t="shared" si="6"/>
        <v>81.5</v>
      </c>
      <c r="CX43" s="13">
        <f t="shared" si="7"/>
        <v>83.5</v>
      </c>
      <c r="CY43" s="13">
        <f t="shared" si="8"/>
        <v>84.5</v>
      </c>
      <c r="CZ43" s="13">
        <f t="shared" si="9"/>
        <v>83.5</v>
      </c>
      <c r="DA43" s="13">
        <f t="shared" si="10"/>
        <v>81</v>
      </c>
      <c r="DB43" s="13">
        <f t="shared" si="11"/>
        <v>81.5</v>
      </c>
      <c r="DC43" s="13">
        <f t="shared" si="12"/>
        <v>80.5</v>
      </c>
      <c r="DD43" s="13">
        <f t="shared" si="13"/>
        <v>82</v>
      </c>
      <c r="DE43" s="13">
        <f t="shared" si="14"/>
        <v>86</v>
      </c>
      <c r="DF43" s="13">
        <f t="shared" si="15"/>
        <v>87.25</v>
      </c>
      <c r="DG43" s="13">
        <f t="shared" si="16"/>
        <v>86</v>
      </c>
      <c r="DH43" s="13">
        <f t="shared" si="17"/>
        <v>86</v>
      </c>
      <c r="DI43" s="13">
        <f t="shared" si="18"/>
        <v>82</v>
      </c>
      <c r="DJ43" s="13">
        <f t="shared" si="19"/>
        <v>84.5</v>
      </c>
      <c r="DK43" s="13">
        <f t="shared" si="20"/>
        <v>83.57916666666668</v>
      </c>
    </row>
    <row r="44" spans="1:115">
      <c r="A44">
        <v>43</v>
      </c>
      <c r="B44">
        <f>'DATA US'!B57</f>
        <v>222310040</v>
      </c>
      <c r="C44" t="str">
        <f>'DATA US'!F57</f>
        <v>BREBES</v>
      </c>
      <c r="D44" s="37" t="str">
        <f>'DATA US'!G57</f>
        <v>21 Desember 2006</v>
      </c>
      <c r="E44" t="str">
        <f>'DATA US'!C57</f>
        <v>0065370722</v>
      </c>
      <c r="F44" t="str">
        <f>'DATA US'!D57</f>
        <v>IPANG SAPUTRA</v>
      </c>
      <c r="G44">
        <v>81</v>
      </c>
      <c r="H44">
        <v>80</v>
      </c>
      <c r="I44">
        <v>81</v>
      </c>
      <c r="J44">
        <v>80</v>
      </c>
      <c r="K44">
        <v>84</v>
      </c>
      <c r="L44">
        <v>85</v>
      </c>
      <c r="M44">
        <v>83</v>
      </c>
      <c r="N44">
        <v>85</v>
      </c>
      <c r="O44">
        <v>82</v>
      </c>
      <c r="P44">
        <v>85</v>
      </c>
      <c r="Q44">
        <v>83</v>
      </c>
      <c r="R44">
        <v>83</v>
      </c>
      <c r="S44">
        <v>84</v>
      </c>
      <c r="T44">
        <v>81</v>
      </c>
      <c r="U44">
        <v>88</v>
      </c>
      <c r="V44">
        <v>89</v>
      </c>
      <c r="W44">
        <v>86</v>
      </c>
      <c r="X44">
        <v>89</v>
      </c>
      <c r="Y44">
        <v>75</v>
      </c>
      <c r="Z44">
        <v>76</v>
      </c>
      <c r="AA44">
        <v>81</v>
      </c>
      <c r="AB44">
        <v>79</v>
      </c>
      <c r="AC44">
        <v>84</v>
      </c>
      <c r="AD44">
        <v>82</v>
      </c>
      <c r="AE44">
        <v>79</v>
      </c>
      <c r="AF44">
        <v>78</v>
      </c>
      <c r="AG44">
        <v>83</v>
      </c>
      <c r="AH44">
        <v>90</v>
      </c>
      <c r="AI44">
        <v>88</v>
      </c>
      <c r="AJ44">
        <v>88</v>
      </c>
      <c r="AK44">
        <v>84</v>
      </c>
      <c r="AL44">
        <v>82</v>
      </c>
      <c r="AP44" t="s">
        <v>992</v>
      </c>
      <c r="AQ44">
        <v>83</v>
      </c>
      <c r="AR44">
        <v>80</v>
      </c>
      <c r="AS44">
        <v>81</v>
      </c>
      <c r="AT44">
        <v>80</v>
      </c>
      <c r="AU44">
        <v>88</v>
      </c>
      <c r="AV44">
        <v>85</v>
      </c>
      <c r="AW44">
        <v>78</v>
      </c>
      <c r="AX44">
        <v>78</v>
      </c>
      <c r="AY44">
        <v>83</v>
      </c>
      <c r="AZ44">
        <v>83</v>
      </c>
      <c r="BA44">
        <v>84</v>
      </c>
      <c r="BB44">
        <v>82</v>
      </c>
      <c r="BC44">
        <v>80</v>
      </c>
      <c r="BD44">
        <v>80</v>
      </c>
      <c r="BE44">
        <v>83</v>
      </c>
      <c r="BF44">
        <v>81</v>
      </c>
      <c r="BG44">
        <v>80</v>
      </c>
      <c r="BH44">
        <v>83</v>
      </c>
      <c r="BI44">
        <v>83</v>
      </c>
      <c r="BJ44">
        <v>87</v>
      </c>
      <c r="BK44">
        <v>82</v>
      </c>
      <c r="BL44">
        <v>90</v>
      </c>
      <c r="BM44">
        <v>84</v>
      </c>
      <c r="BN44">
        <v>87</v>
      </c>
      <c r="BO44">
        <v>88</v>
      </c>
      <c r="BP44">
        <v>88</v>
      </c>
      <c r="BQ44">
        <v>90</v>
      </c>
      <c r="BR44">
        <v>86</v>
      </c>
      <c r="BS44">
        <v>88</v>
      </c>
      <c r="BT44">
        <v>88</v>
      </c>
      <c r="BU44">
        <v>81</v>
      </c>
      <c r="BV44">
        <v>82</v>
      </c>
      <c r="BW44">
        <v>84</v>
      </c>
      <c r="BX44">
        <v>80</v>
      </c>
      <c r="BY44">
        <v>85</v>
      </c>
      <c r="BZ44">
        <v>86</v>
      </c>
      <c r="CA44">
        <v>84</v>
      </c>
      <c r="CB44">
        <v>85</v>
      </c>
      <c r="CC44" s="19" t="s">
        <v>1005</v>
      </c>
      <c r="CD44" s="19" t="s">
        <v>994</v>
      </c>
      <c r="CE44" s="43" t="s">
        <v>1058</v>
      </c>
      <c r="CF44" s="19" t="s">
        <v>996</v>
      </c>
      <c r="CJ44" s="19"/>
      <c r="CK44" s="13">
        <v>90.3333333333333</v>
      </c>
      <c r="CL44">
        <v>83</v>
      </c>
      <c r="CM44">
        <v>83</v>
      </c>
      <c r="CN44">
        <v>86</v>
      </c>
      <c r="CO44" s="13">
        <v>82.5</v>
      </c>
      <c r="CP44" s="13">
        <v>90</v>
      </c>
      <c r="CQ44" s="13">
        <f t="shared" si="0"/>
        <v>81.833333333333329</v>
      </c>
      <c r="CR44" s="13">
        <f t="shared" si="1"/>
        <v>83.5</v>
      </c>
      <c r="CS44" s="13">
        <f t="shared" si="2"/>
        <v>79.5</v>
      </c>
      <c r="CT44" s="13">
        <f t="shared" si="3"/>
        <v>86.166666666666671</v>
      </c>
      <c r="CU44" s="13">
        <f t="shared" si="4"/>
        <v>84.333333333333329</v>
      </c>
      <c r="CV44" s="13">
        <f t="shared" si="5"/>
        <v>81.5</v>
      </c>
      <c r="CW44" s="13">
        <f t="shared" si="6"/>
        <v>83.5</v>
      </c>
      <c r="CX44" s="13">
        <f t="shared" si="7"/>
        <v>84.5</v>
      </c>
      <c r="CY44" s="13">
        <f t="shared" si="8"/>
        <v>83</v>
      </c>
      <c r="CZ44" s="13">
        <f t="shared" si="9"/>
        <v>83</v>
      </c>
      <c r="DA44" s="13">
        <f t="shared" si="10"/>
        <v>78</v>
      </c>
      <c r="DB44" s="13">
        <f t="shared" si="11"/>
        <v>82</v>
      </c>
      <c r="DC44" s="13">
        <f t="shared" si="12"/>
        <v>81.5</v>
      </c>
      <c r="DD44" s="13">
        <f t="shared" si="13"/>
        <v>80</v>
      </c>
      <c r="DE44" s="13">
        <f t="shared" si="14"/>
        <v>85.5</v>
      </c>
      <c r="DF44" s="13">
        <f t="shared" si="15"/>
        <v>86.75</v>
      </c>
      <c r="DG44" s="13">
        <f t="shared" si="16"/>
        <v>88</v>
      </c>
      <c r="DH44" s="13">
        <f t="shared" si="17"/>
        <v>83.75</v>
      </c>
      <c r="DI44" s="13">
        <f t="shared" si="18"/>
        <v>81.5</v>
      </c>
      <c r="DJ44" s="13">
        <f t="shared" si="19"/>
        <v>83</v>
      </c>
      <c r="DK44" s="13">
        <f t="shared" si="20"/>
        <v>83.041666666666657</v>
      </c>
    </row>
    <row r="45" spans="1:115">
      <c r="A45">
        <v>44</v>
      </c>
      <c r="B45">
        <f>'DATA US'!B58</f>
        <v>222310041</v>
      </c>
      <c r="C45" t="str">
        <f>'DATA US'!F58</f>
        <v>BEKASI</v>
      </c>
      <c r="D45" s="37" t="str">
        <f>'DATA US'!G58</f>
        <v>14 Mei 2007</v>
      </c>
      <c r="E45" t="str">
        <f>'DATA US'!C58</f>
        <v>0076850408</v>
      </c>
      <c r="F45" t="str">
        <f>'DATA US'!D58</f>
        <v>M IQBAL HENDRAWAN</v>
      </c>
      <c r="G45">
        <v>85</v>
      </c>
      <c r="H45">
        <v>86</v>
      </c>
      <c r="I45">
        <v>84</v>
      </c>
      <c r="J45">
        <v>80</v>
      </c>
      <c r="K45">
        <v>93</v>
      </c>
      <c r="L45">
        <v>88</v>
      </c>
      <c r="M45">
        <v>85</v>
      </c>
      <c r="N45">
        <v>86</v>
      </c>
      <c r="O45">
        <v>82</v>
      </c>
      <c r="P45">
        <v>85</v>
      </c>
      <c r="Q45">
        <v>84</v>
      </c>
      <c r="R45">
        <v>84</v>
      </c>
      <c r="S45">
        <v>80</v>
      </c>
      <c r="T45">
        <v>86</v>
      </c>
      <c r="U45">
        <v>91</v>
      </c>
      <c r="V45">
        <v>92</v>
      </c>
      <c r="W45">
        <v>88</v>
      </c>
      <c r="X45">
        <v>93</v>
      </c>
      <c r="Y45">
        <v>79</v>
      </c>
      <c r="Z45">
        <v>78</v>
      </c>
      <c r="AA45">
        <v>78</v>
      </c>
      <c r="AB45">
        <v>81</v>
      </c>
      <c r="AC45">
        <v>85</v>
      </c>
      <c r="AD45">
        <v>89</v>
      </c>
      <c r="AE45">
        <v>81</v>
      </c>
      <c r="AF45">
        <v>78</v>
      </c>
      <c r="AG45">
        <v>85</v>
      </c>
      <c r="AH45">
        <v>90</v>
      </c>
      <c r="AI45">
        <v>86</v>
      </c>
      <c r="AJ45">
        <v>90</v>
      </c>
      <c r="AK45">
        <v>88</v>
      </c>
      <c r="AL45">
        <v>85</v>
      </c>
      <c r="AP45" t="s">
        <v>992</v>
      </c>
      <c r="AQ45">
        <v>85</v>
      </c>
      <c r="AR45">
        <v>84</v>
      </c>
      <c r="AS45">
        <v>81</v>
      </c>
      <c r="AT45">
        <v>80</v>
      </c>
      <c r="AU45">
        <v>88</v>
      </c>
      <c r="AV45">
        <v>85</v>
      </c>
      <c r="AW45">
        <v>83</v>
      </c>
      <c r="AX45">
        <v>85</v>
      </c>
      <c r="AY45">
        <v>85</v>
      </c>
      <c r="AZ45">
        <v>87</v>
      </c>
      <c r="BA45">
        <v>86</v>
      </c>
      <c r="BB45">
        <v>86</v>
      </c>
      <c r="BC45">
        <v>80</v>
      </c>
      <c r="BD45">
        <v>89</v>
      </c>
      <c r="BE45">
        <v>82</v>
      </c>
      <c r="BF45">
        <v>81</v>
      </c>
      <c r="BG45">
        <v>80</v>
      </c>
      <c r="BH45">
        <v>82</v>
      </c>
      <c r="BI45">
        <v>79</v>
      </c>
      <c r="BJ45">
        <v>80</v>
      </c>
      <c r="BK45">
        <v>82</v>
      </c>
      <c r="BL45">
        <v>90</v>
      </c>
      <c r="BM45">
        <v>79</v>
      </c>
      <c r="BN45">
        <v>80</v>
      </c>
      <c r="BO45">
        <v>83</v>
      </c>
      <c r="BP45">
        <v>83</v>
      </c>
      <c r="BQ45">
        <v>90</v>
      </c>
      <c r="BR45">
        <v>85</v>
      </c>
      <c r="BS45">
        <v>86</v>
      </c>
      <c r="BT45">
        <v>87</v>
      </c>
      <c r="BU45">
        <v>83</v>
      </c>
      <c r="BV45">
        <v>82</v>
      </c>
      <c r="BW45">
        <v>86</v>
      </c>
      <c r="BX45">
        <v>86</v>
      </c>
      <c r="BY45">
        <v>90</v>
      </c>
      <c r="BZ45">
        <v>84</v>
      </c>
      <c r="CA45">
        <v>87</v>
      </c>
      <c r="CB45">
        <v>87</v>
      </c>
      <c r="CC45" s="19" t="s">
        <v>1023</v>
      </c>
      <c r="CD45" s="19" t="s">
        <v>1024</v>
      </c>
      <c r="CE45" s="43" t="s">
        <v>1059</v>
      </c>
      <c r="CF45" s="24" t="s">
        <v>996</v>
      </c>
      <c r="CG45" s="19" t="s">
        <v>1060</v>
      </c>
      <c r="CH45" s="19" t="s">
        <v>994</v>
      </c>
      <c r="CI45" s="43" t="s">
        <v>1059</v>
      </c>
      <c r="CJ45" s="24" t="s">
        <v>996</v>
      </c>
      <c r="CK45" s="13">
        <v>92.3333333333333</v>
      </c>
      <c r="CL45">
        <v>85.6666666666667</v>
      </c>
      <c r="CM45">
        <v>90</v>
      </c>
      <c r="CN45">
        <v>89</v>
      </c>
      <c r="CO45" s="13">
        <v>82.25</v>
      </c>
      <c r="CP45" s="13">
        <v>89.5833333333333</v>
      </c>
      <c r="CQ45" s="13">
        <f t="shared" si="0"/>
        <v>86</v>
      </c>
      <c r="CR45" s="13">
        <f t="shared" si="1"/>
        <v>84.333333333333329</v>
      </c>
      <c r="CS45" s="13">
        <f t="shared" si="2"/>
        <v>81.666666666666671</v>
      </c>
      <c r="CT45" s="13">
        <f t="shared" si="3"/>
        <v>88.333333333333329</v>
      </c>
      <c r="CU45" s="13">
        <f t="shared" si="4"/>
        <v>85</v>
      </c>
      <c r="CV45" s="13">
        <f t="shared" si="5"/>
        <v>84.5</v>
      </c>
      <c r="CW45" s="13">
        <f t="shared" si="6"/>
        <v>83.5</v>
      </c>
      <c r="CX45" s="13">
        <f t="shared" si="7"/>
        <v>87</v>
      </c>
      <c r="CY45" s="13">
        <f t="shared" si="8"/>
        <v>86</v>
      </c>
      <c r="CZ45" s="13">
        <f t="shared" si="9"/>
        <v>86</v>
      </c>
      <c r="DA45" s="13">
        <f t="shared" si="10"/>
        <v>84</v>
      </c>
      <c r="DB45" s="13">
        <f t="shared" si="11"/>
        <v>81.5</v>
      </c>
      <c r="DC45" s="13">
        <f t="shared" si="12"/>
        <v>81</v>
      </c>
      <c r="DD45" s="13">
        <f t="shared" si="13"/>
        <v>84.5</v>
      </c>
      <c r="DE45" s="13">
        <f t="shared" si="14"/>
        <v>82.75</v>
      </c>
      <c r="DF45" s="13">
        <f t="shared" si="15"/>
        <v>81.25</v>
      </c>
      <c r="DG45" s="13">
        <f t="shared" si="16"/>
        <v>87</v>
      </c>
      <c r="DH45" s="13">
        <f t="shared" si="17"/>
        <v>86.5</v>
      </c>
      <c r="DI45" s="13">
        <f t="shared" si="18"/>
        <v>82.5</v>
      </c>
      <c r="DJ45" s="13">
        <f t="shared" si="19"/>
        <v>86.5</v>
      </c>
      <c r="DK45" s="13">
        <f t="shared" si="20"/>
        <v>84.49166666666666</v>
      </c>
    </row>
    <row r="46" spans="1:115">
      <c r="A46">
        <v>45</v>
      </c>
      <c r="B46">
        <f>'DATA US'!B59</f>
        <v>222310042</v>
      </c>
      <c r="C46" t="str">
        <f>'DATA US'!F59</f>
        <v>KARAWANG</v>
      </c>
      <c r="D46" s="37" t="str">
        <f>'DATA US'!G59</f>
        <v>9 Maret 2006</v>
      </c>
      <c r="E46" t="str">
        <f>'DATA US'!C59</f>
        <v>0069805365</v>
      </c>
      <c r="F46" t="str">
        <f>'DATA US'!D59</f>
        <v>MAHESA APRIATNA</v>
      </c>
      <c r="G46">
        <v>81</v>
      </c>
      <c r="H46">
        <v>79</v>
      </c>
      <c r="I46">
        <v>84</v>
      </c>
      <c r="J46">
        <v>82</v>
      </c>
      <c r="K46">
        <v>84</v>
      </c>
      <c r="L46">
        <v>85</v>
      </c>
      <c r="M46">
        <v>83</v>
      </c>
      <c r="N46">
        <v>84</v>
      </c>
      <c r="O46">
        <v>84</v>
      </c>
      <c r="P46">
        <v>85</v>
      </c>
      <c r="Q46">
        <v>83</v>
      </c>
      <c r="R46">
        <v>83</v>
      </c>
      <c r="S46">
        <v>79</v>
      </c>
      <c r="T46">
        <v>81</v>
      </c>
      <c r="U46">
        <v>90</v>
      </c>
      <c r="V46">
        <v>91</v>
      </c>
      <c r="W46">
        <v>86</v>
      </c>
      <c r="X46">
        <v>93</v>
      </c>
      <c r="Y46">
        <v>75</v>
      </c>
      <c r="Z46">
        <v>76</v>
      </c>
      <c r="AA46">
        <v>83</v>
      </c>
      <c r="AB46">
        <v>79</v>
      </c>
      <c r="AC46">
        <v>80</v>
      </c>
      <c r="AD46">
        <v>85</v>
      </c>
      <c r="AE46">
        <v>81</v>
      </c>
      <c r="AF46">
        <v>78</v>
      </c>
      <c r="AG46">
        <v>87</v>
      </c>
      <c r="AH46">
        <v>85</v>
      </c>
      <c r="AI46">
        <v>85</v>
      </c>
      <c r="AJ46">
        <v>85</v>
      </c>
      <c r="AK46">
        <v>85</v>
      </c>
      <c r="AL46">
        <v>83</v>
      </c>
      <c r="AP46" t="s">
        <v>992</v>
      </c>
      <c r="AQ46">
        <v>82</v>
      </c>
      <c r="AR46">
        <v>81</v>
      </c>
      <c r="AS46">
        <v>81</v>
      </c>
      <c r="AT46">
        <v>80</v>
      </c>
      <c r="AU46">
        <v>88</v>
      </c>
      <c r="AV46">
        <v>84</v>
      </c>
      <c r="AW46">
        <v>79</v>
      </c>
      <c r="AX46">
        <v>78</v>
      </c>
      <c r="AY46">
        <v>83</v>
      </c>
      <c r="AZ46">
        <v>83</v>
      </c>
      <c r="BA46">
        <v>85</v>
      </c>
      <c r="BB46">
        <v>81</v>
      </c>
      <c r="BC46">
        <v>76</v>
      </c>
      <c r="BD46">
        <v>84</v>
      </c>
      <c r="BE46">
        <v>81</v>
      </c>
      <c r="BF46">
        <v>81</v>
      </c>
      <c r="BG46">
        <v>80</v>
      </c>
      <c r="BH46">
        <v>81</v>
      </c>
      <c r="BI46">
        <v>86</v>
      </c>
      <c r="BJ46">
        <v>87</v>
      </c>
      <c r="BK46">
        <v>82</v>
      </c>
      <c r="BL46">
        <v>90</v>
      </c>
      <c r="BM46">
        <v>86</v>
      </c>
      <c r="BN46">
        <v>87</v>
      </c>
      <c r="BO46">
        <v>85</v>
      </c>
      <c r="BP46">
        <v>85</v>
      </c>
      <c r="BQ46">
        <v>83</v>
      </c>
      <c r="BR46">
        <v>83</v>
      </c>
      <c r="BS46">
        <v>87</v>
      </c>
      <c r="BT46">
        <v>87</v>
      </c>
      <c r="BU46">
        <v>81</v>
      </c>
      <c r="BV46">
        <v>82</v>
      </c>
      <c r="BW46">
        <v>86</v>
      </c>
      <c r="BX46">
        <v>86</v>
      </c>
      <c r="BY46">
        <v>82</v>
      </c>
      <c r="BZ46">
        <v>84</v>
      </c>
      <c r="CA46">
        <v>84</v>
      </c>
      <c r="CB46">
        <v>87</v>
      </c>
      <c r="CC46" t="s">
        <v>1033</v>
      </c>
      <c r="CD46" t="s">
        <v>994</v>
      </c>
      <c r="CE46" s="36" t="s">
        <v>1034</v>
      </c>
      <c r="CF46" s="24" t="s">
        <v>996</v>
      </c>
      <c r="CG46" t="s">
        <v>1055</v>
      </c>
      <c r="CH46" t="s">
        <v>1013</v>
      </c>
      <c r="CI46" t="s">
        <v>1061</v>
      </c>
      <c r="CJ46" s="24" t="s">
        <v>996</v>
      </c>
      <c r="CK46" s="13">
        <v>90.3333333333333</v>
      </c>
      <c r="CL46">
        <v>84</v>
      </c>
      <c r="CM46">
        <v>83</v>
      </c>
      <c r="CN46">
        <v>90</v>
      </c>
      <c r="CO46" s="13">
        <v>82.5</v>
      </c>
      <c r="CP46" s="13">
        <v>88.8055555555556</v>
      </c>
      <c r="CQ46" s="13">
        <f t="shared" si="0"/>
        <v>82.5</v>
      </c>
      <c r="CR46" s="13">
        <f t="shared" si="1"/>
        <v>83.666666666666671</v>
      </c>
      <c r="CS46" s="13">
        <f t="shared" si="2"/>
        <v>79.666666666666671</v>
      </c>
      <c r="CT46" s="13">
        <f t="shared" si="3"/>
        <v>86.666666666666671</v>
      </c>
      <c r="CU46" s="13">
        <f t="shared" si="4"/>
        <v>83.5</v>
      </c>
      <c r="CV46" s="13">
        <f t="shared" si="5"/>
        <v>81.5</v>
      </c>
      <c r="CW46" s="13">
        <f t="shared" si="6"/>
        <v>83.25</v>
      </c>
      <c r="CX46" s="13">
        <f t="shared" si="7"/>
        <v>85.5</v>
      </c>
      <c r="CY46" s="13">
        <f t="shared" si="8"/>
        <v>83</v>
      </c>
      <c r="CZ46" s="13">
        <f t="shared" si="9"/>
        <v>83</v>
      </c>
      <c r="DA46" s="13">
        <f t="shared" si="10"/>
        <v>78.5</v>
      </c>
      <c r="DB46" s="13">
        <f t="shared" si="11"/>
        <v>81</v>
      </c>
      <c r="DC46" s="13">
        <f t="shared" si="12"/>
        <v>80.5</v>
      </c>
      <c r="DD46" s="13">
        <f t="shared" si="13"/>
        <v>80</v>
      </c>
      <c r="DE46" s="13">
        <f t="shared" si="14"/>
        <v>86.25</v>
      </c>
      <c r="DF46" s="13">
        <f t="shared" si="15"/>
        <v>85.75</v>
      </c>
      <c r="DG46" s="13">
        <f t="shared" si="16"/>
        <v>85</v>
      </c>
      <c r="DH46" s="13">
        <f t="shared" si="17"/>
        <v>84.5</v>
      </c>
      <c r="DI46" s="13">
        <f t="shared" si="18"/>
        <v>81.5</v>
      </c>
      <c r="DJ46" s="13">
        <f t="shared" si="19"/>
        <v>84</v>
      </c>
      <c r="DK46" s="13">
        <f t="shared" si="20"/>
        <v>82.962500000000006</v>
      </c>
    </row>
    <row r="47" spans="1:115">
      <c r="A47">
        <v>46</v>
      </c>
      <c r="B47">
        <f>'DATA US'!B60</f>
        <v>222310043</v>
      </c>
      <c r="C47" t="str">
        <f>'DATA US'!F60</f>
        <v>KOTA BEKASI</v>
      </c>
      <c r="D47" s="37" t="str">
        <f>'DATA US'!G60</f>
        <v xml:space="preserve"> 26 September 2006</v>
      </c>
      <c r="E47" t="str">
        <f>'DATA US'!C60</f>
        <v>0061289805</v>
      </c>
      <c r="F47" t="str">
        <f>'DATA US'!D60</f>
        <v>MOHAMMAD SYAHRUR ROMDHONI</v>
      </c>
      <c r="G47">
        <v>82</v>
      </c>
      <c r="H47">
        <v>79</v>
      </c>
      <c r="I47">
        <v>82</v>
      </c>
      <c r="J47">
        <v>85</v>
      </c>
      <c r="K47">
        <v>83</v>
      </c>
      <c r="L47">
        <v>84</v>
      </c>
      <c r="M47">
        <v>81</v>
      </c>
      <c r="N47">
        <v>82</v>
      </c>
      <c r="O47">
        <v>82</v>
      </c>
      <c r="P47">
        <v>84</v>
      </c>
      <c r="Q47">
        <v>83</v>
      </c>
      <c r="R47">
        <v>83</v>
      </c>
      <c r="S47">
        <v>79</v>
      </c>
      <c r="T47">
        <v>81</v>
      </c>
      <c r="U47">
        <v>88</v>
      </c>
      <c r="V47">
        <v>88</v>
      </c>
      <c r="W47">
        <v>85</v>
      </c>
      <c r="X47">
        <v>92</v>
      </c>
      <c r="Y47">
        <v>76</v>
      </c>
      <c r="Z47">
        <v>80</v>
      </c>
      <c r="AA47">
        <v>81</v>
      </c>
      <c r="AB47">
        <v>79</v>
      </c>
      <c r="AC47">
        <v>83</v>
      </c>
      <c r="AD47">
        <v>86</v>
      </c>
      <c r="AE47">
        <v>78</v>
      </c>
      <c r="AF47">
        <v>77</v>
      </c>
      <c r="AG47">
        <v>83</v>
      </c>
      <c r="AH47">
        <v>85</v>
      </c>
      <c r="AI47">
        <v>80</v>
      </c>
      <c r="AJ47">
        <v>80</v>
      </c>
      <c r="AK47">
        <v>83</v>
      </c>
      <c r="AL47">
        <v>84</v>
      </c>
      <c r="AP47" t="s">
        <v>992</v>
      </c>
      <c r="AQ47">
        <v>81</v>
      </c>
      <c r="AR47">
        <v>81</v>
      </c>
      <c r="AS47">
        <v>81</v>
      </c>
      <c r="AT47">
        <v>80</v>
      </c>
      <c r="AU47">
        <v>85</v>
      </c>
      <c r="AV47">
        <v>81</v>
      </c>
      <c r="AW47">
        <v>81</v>
      </c>
      <c r="AX47">
        <v>83</v>
      </c>
      <c r="AY47">
        <v>82</v>
      </c>
      <c r="AZ47">
        <v>82</v>
      </c>
      <c r="BA47">
        <v>83</v>
      </c>
      <c r="BB47">
        <v>81</v>
      </c>
      <c r="BC47">
        <v>81</v>
      </c>
      <c r="BD47">
        <v>83</v>
      </c>
      <c r="BE47">
        <v>81</v>
      </c>
      <c r="BF47">
        <v>80</v>
      </c>
      <c r="BG47">
        <v>77</v>
      </c>
      <c r="BH47">
        <v>81</v>
      </c>
      <c r="BI47">
        <v>85</v>
      </c>
      <c r="BJ47">
        <v>87</v>
      </c>
      <c r="BK47">
        <v>83</v>
      </c>
      <c r="BL47">
        <v>90</v>
      </c>
      <c r="BM47">
        <v>85</v>
      </c>
      <c r="BN47">
        <v>86</v>
      </c>
      <c r="BO47">
        <v>85</v>
      </c>
      <c r="BP47">
        <v>85</v>
      </c>
      <c r="BQ47">
        <v>86</v>
      </c>
      <c r="BR47">
        <v>84</v>
      </c>
      <c r="BS47">
        <v>86</v>
      </c>
      <c r="BT47">
        <v>85</v>
      </c>
      <c r="BU47">
        <v>85</v>
      </c>
      <c r="BV47">
        <v>87</v>
      </c>
      <c r="BW47">
        <v>86</v>
      </c>
      <c r="BX47">
        <v>86</v>
      </c>
      <c r="BY47">
        <v>86</v>
      </c>
      <c r="BZ47">
        <v>87</v>
      </c>
      <c r="CA47">
        <v>81</v>
      </c>
      <c r="CB47">
        <v>82</v>
      </c>
      <c r="CC47" s="19" t="s">
        <v>1016</v>
      </c>
      <c r="CD47" s="19" t="s">
        <v>1017</v>
      </c>
      <c r="CE47" s="43" t="s">
        <v>1062</v>
      </c>
      <c r="CF47" s="19" t="s">
        <v>996</v>
      </c>
      <c r="CJ47" s="19"/>
      <c r="CK47" s="13">
        <v>89.3333333333333</v>
      </c>
      <c r="CL47">
        <v>84.3333333333333</v>
      </c>
      <c r="CM47">
        <v>84</v>
      </c>
      <c r="CN47">
        <v>87</v>
      </c>
      <c r="CO47" s="13">
        <v>82</v>
      </c>
      <c r="CP47" s="13">
        <v>90.1944444444445</v>
      </c>
      <c r="CQ47" s="13">
        <f t="shared" si="0"/>
        <v>82.5</v>
      </c>
      <c r="CR47" s="13">
        <f t="shared" si="1"/>
        <v>82.5</v>
      </c>
      <c r="CS47" s="13">
        <f t="shared" si="2"/>
        <v>80.833333333333329</v>
      </c>
      <c r="CT47" s="13">
        <f t="shared" si="3"/>
        <v>85.5</v>
      </c>
      <c r="CU47" s="13">
        <f t="shared" si="4"/>
        <v>80.5</v>
      </c>
      <c r="CV47" s="13">
        <f t="shared" si="5"/>
        <v>81</v>
      </c>
      <c r="CW47" s="13">
        <f t="shared" si="6"/>
        <v>81.75</v>
      </c>
      <c r="CX47" s="13">
        <f t="shared" si="7"/>
        <v>81.5</v>
      </c>
      <c r="CY47" s="13">
        <f t="shared" si="8"/>
        <v>82</v>
      </c>
      <c r="CZ47" s="13">
        <f t="shared" si="9"/>
        <v>82</v>
      </c>
      <c r="DA47" s="13">
        <f t="shared" si="10"/>
        <v>82</v>
      </c>
      <c r="DB47" s="13">
        <f t="shared" si="11"/>
        <v>80.5</v>
      </c>
      <c r="DC47" s="13">
        <f t="shared" si="12"/>
        <v>79</v>
      </c>
      <c r="DD47" s="13">
        <f t="shared" si="13"/>
        <v>82</v>
      </c>
      <c r="DE47" s="13">
        <f t="shared" si="14"/>
        <v>86.25</v>
      </c>
      <c r="DF47" s="13">
        <f t="shared" si="15"/>
        <v>85.25</v>
      </c>
      <c r="DG47" s="13">
        <f t="shared" si="16"/>
        <v>85.25</v>
      </c>
      <c r="DH47" s="13">
        <f t="shared" si="17"/>
        <v>86.25</v>
      </c>
      <c r="DI47" s="13">
        <f t="shared" si="18"/>
        <v>86</v>
      </c>
      <c r="DJ47" s="13">
        <f t="shared" si="19"/>
        <v>83.5</v>
      </c>
      <c r="DK47" s="13">
        <f t="shared" si="20"/>
        <v>82.80416666666666</v>
      </c>
    </row>
    <row r="48" spans="1:115">
      <c r="A48">
        <v>47</v>
      </c>
      <c r="B48">
        <f>'DATA US'!B61</f>
        <v>222310044</v>
      </c>
      <c r="C48" t="str">
        <f>'DATA US'!F61</f>
        <v>BEKASI</v>
      </c>
      <c r="D48" s="37">
        <f>'DATA US'!G61</f>
        <v>39041</v>
      </c>
      <c r="E48" t="str">
        <f>'DATA US'!C61</f>
        <v>0064789350</v>
      </c>
      <c r="F48" t="str">
        <f>'DATA US'!D61</f>
        <v>MUHAMAD HARISKY</v>
      </c>
      <c r="G48">
        <v>83</v>
      </c>
      <c r="H48">
        <v>83</v>
      </c>
      <c r="I48">
        <v>83</v>
      </c>
      <c r="J48">
        <v>83</v>
      </c>
      <c r="K48">
        <v>84</v>
      </c>
      <c r="L48">
        <v>85</v>
      </c>
      <c r="M48">
        <v>81</v>
      </c>
      <c r="N48">
        <v>84</v>
      </c>
      <c r="O48">
        <v>84</v>
      </c>
      <c r="P48">
        <v>85</v>
      </c>
      <c r="Q48">
        <v>84</v>
      </c>
      <c r="R48">
        <v>84</v>
      </c>
      <c r="S48">
        <v>80</v>
      </c>
      <c r="T48">
        <v>81</v>
      </c>
      <c r="U48">
        <v>90</v>
      </c>
      <c r="V48">
        <v>91</v>
      </c>
      <c r="W48">
        <v>82</v>
      </c>
      <c r="X48">
        <v>92</v>
      </c>
      <c r="Y48">
        <v>75</v>
      </c>
      <c r="Z48">
        <v>78</v>
      </c>
      <c r="AA48">
        <v>82</v>
      </c>
      <c r="AB48">
        <v>80</v>
      </c>
      <c r="AC48">
        <v>83</v>
      </c>
      <c r="AD48">
        <v>87</v>
      </c>
      <c r="AE48">
        <v>80</v>
      </c>
      <c r="AF48">
        <v>78</v>
      </c>
      <c r="AG48">
        <v>84</v>
      </c>
      <c r="AH48">
        <v>85</v>
      </c>
      <c r="AI48">
        <v>91</v>
      </c>
      <c r="AJ48">
        <v>91</v>
      </c>
      <c r="AK48">
        <v>85</v>
      </c>
      <c r="AL48">
        <v>83</v>
      </c>
      <c r="AP48" t="s">
        <v>992</v>
      </c>
      <c r="AQ48">
        <v>83</v>
      </c>
      <c r="AR48">
        <v>81</v>
      </c>
      <c r="AS48">
        <v>80</v>
      </c>
      <c r="AT48">
        <v>79</v>
      </c>
      <c r="AU48">
        <v>85</v>
      </c>
      <c r="AV48">
        <v>82</v>
      </c>
      <c r="AW48">
        <v>77</v>
      </c>
      <c r="AX48">
        <v>83</v>
      </c>
      <c r="AY48">
        <v>84</v>
      </c>
      <c r="AZ48">
        <v>82</v>
      </c>
      <c r="BA48">
        <v>83</v>
      </c>
      <c r="BB48">
        <v>81</v>
      </c>
      <c r="BC48">
        <v>83</v>
      </c>
      <c r="BD48">
        <v>84</v>
      </c>
      <c r="BE48">
        <v>82</v>
      </c>
      <c r="BF48">
        <v>81</v>
      </c>
      <c r="BG48">
        <v>77</v>
      </c>
      <c r="BH48">
        <v>82</v>
      </c>
      <c r="BI48">
        <v>84</v>
      </c>
      <c r="BJ48">
        <v>85</v>
      </c>
      <c r="BK48">
        <v>82</v>
      </c>
      <c r="BL48">
        <v>90</v>
      </c>
      <c r="BM48">
        <v>84</v>
      </c>
      <c r="BN48">
        <v>86</v>
      </c>
      <c r="BO48">
        <v>85</v>
      </c>
      <c r="BP48">
        <v>85</v>
      </c>
      <c r="BQ48">
        <v>88</v>
      </c>
      <c r="BR48">
        <v>85</v>
      </c>
      <c r="BS48">
        <v>86</v>
      </c>
      <c r="BT48">
        <v>85</v>
      </c>
      <c r="BU48">
        <v>82</v>
      </c>
      <c r="BV48">
        <v>84</v>
      </c>
      <c r="BW48">
        <v>86</v>
      </c>
      <c r="BX48">
        <v>85</v>
      </c>
      <c r="BY48">
        <v>86</v>
      </c>
      <c r="BZ48">
        <v>86</v>
      </c>
      <c r="CA48">
        <v>81</v>
      </c>
      <c r="CB48">
        <v>83</v>
      </c>
      <c r="CC48" s="19" t="s">
        <v>1055</v>
      </c>
      <c r="CD48" s="19" t="s">
        <v>1013</v>
      </c>
      <c r="CE48" s="43" t="s">
        <v>1034</v>
      </c>
      <c r="CF48" s="19" t="s">
        <v>996</v>
      </c>
      <c r="CJ48" s="19"/>
      <c r="CK48" s="13">
        <v>89.3333333333333</v>
      </c>
      <c r="CL48">
        <v>84.3333333333333</v>
      </c>
      <c r="CM48">
        <v>86</v>
      </c>
      <c r="CN48">
        <v>90</v>
      </c>
      <c r="CO48" s="13">
        <v>82.5</v>
      </c>
      <c r="CP48" s="13">
        <v>88.7222222222222</v>
      </c>
      <c r="CQ48" s="13">
        <f t="shared" si="0"/>
        <v>83.5</v>
      </c>
      <c r="CR48" s="13">
        <f t="shared" si="1"/>
        <v>83.666666666666671</v>
      </c>
      <c r="CS48" s="13">
        <f t="shared" si="2"/>
        <v>80.833333333333329</v>
      </c>
      <c r="CT48" s="13">
        <f t="shared" si="3"/>
        <v>86</v>
      </c>
      <c r="CU48" s="13">
        <f t="shared" si="4"/>
        <v>84.833333333333329</v>
      </c>
      <c r="CV48" s="13">
        <f t="shared" si="5"/>
        <v>82</v>
      </c>
      <c r="CW48" s="13">
        <f t="shared" si="6"/>
        <v>81.5</v>
      </c>
      <c r="CX48" s="13">
        <f t="shared" si="7"/>
        <v>82</v>
      </c>
      <c r="CY48" s="13">
        <f t="shared" si="8"/>
        <v>82</v>
      </c>
      <c r="CZ48" s="13">
        <f t="shared" si="9"/>
        <v>83</v>
      </c>
      <c r="DA48" s="13">
        <f t="shared" si="10"/>
        <v>80</v>
      </c>
      <c r="DB48" s="13">
        <f t="shared" si="11"/>
        <v>81.5</v>
      </c>
      <c r="DC48" s="13">
        <f t="shared" si="12"/>
        <v>79.5</v>
      </c>
      <c r="DD48" s="13">
        <f t="shared" si="13"/>
        <v>83.5</v>
      </c>
      <c r="DE48" s="13">
        <f t="shared" si="14"/>
        <v>85.25</v>
      </c>
      <c r="DF48" s="13">
        <f t="shared" si="15"/>
        <v>85</v>
      </c>
      <c r="DG48" s="13">
        <f t="shared" si="16"/>
        <v>86</v>
      </c>
      <c r="DH48" s="13">
        <f t="shared" si="17"/>
        <v>85.75</v>
      </c>
      <c r="DI48" s="13">
        <f t="shared" si="18"/>
        <v>83</v>
      </c>
      <c r="DJ48" s="13">
        <f t="shared" si="19"/>
        <v>84</v>
      </c>
      <c r="DK48" s="13">
        <f t="shared" si="20"/>
        <v>83.141666666666666</v>
      </c>
    </row>
    <row r="49" spans="1:115">
      <c r="A49">
        <v>48</v>
      </c>
      <c r="B49">
        <f>'DATA US'!B62</f>
        <v>222310045</v>
      </c>
      <c r="C49" t="str">
        <f>'DATA US'!F62</f>
        <v>BEKASI</v>
      </c>
      <c r="D49" s="37" t="str">
        <f>'DATA US'!G62</f>
        <v>27 Oktober 2006</v>
      </c>
      <c r="E49" t="str">
        <f>'DATA US'!C62</f>
        <v>0062164345</v>
      </c>
      <c r="F49" t="str">
        <f>'DATA US'!D62</f>
        <v>MUHAMAD ILLHAM ALLHUSNI</v>
      </c>
      <c r="G49">
        <v>82</v>
      </c>
      <c r="H49">
        <v>85</v>
      </c>
      <c r="I49">
        <v>80</v>
      </c>
      <c r="J49">
        <v>80</v>
      </c>
      <c r="K49">
        <v>86</v>
      </c>
      <c r="L49">
        <v>88</v>
      </c>
      <c r="M49">
        <v>84</v>
      </c>
      <c r="N49">
        <v>84</v>
      </c>
      <c r="O49">
        <v>81</v>
      </c>
      <c r="P49">
        <v>86</v>
      </c>
      <c r="Q49">
        <v>84</v>
      </c>
      <c r="R49">
        <v>84</v>
      </c>
      <c r="S49">
        <v>85</v>
      </c>
      <c r="T49">
        <v>90</v>
      </c>
      <c r="U49">
        <v>90</v>
      </c>
      <c r="V49">
        <v>90</v>
      </c>
      <c r="W49">
        <v>86</v>
      </c>
      <c r="X49">
        <v>92</v>
      </c>
      <c r="Y49">
        <v>75</v>
      </c>
      <c r="Z49">
        <v>78</v>
      </c>
      <c r="AA49">
        <v>80</v>
      </c>
      <c r="AB49">
        <v>79</v>
      </c>
      <c r="AC49">
        <v>83</v>
      </c>
      <c r="AD49">
        <v>84</v>
      </c>
      <c r="AE49">
        <v>78</v>
      </c>
      <c r="AF49">
        <v>78</v>
      </c>
      <c r="AG49">
        <v>83</v>
      </c>
      <c r="AH49">
        <v>90</v>
      </c>
      <c r="AI49">
        <v>86</v>
      </c>
      <c r="AJ49">
        <v>86</v>
      </c>
      <c r="AK49">
        <v>85</v>
      </c>
      <c r="AL49">
        <v>84</v>
      </c>
      <c r="AP49" t="s">
        <v>992</v>
      </c>
      <c r="AQ49">
        <v>83</v>
      </c>
      <c r="AR49">
        <v>81</v>
      </c>
      <c r="AS49">
        <v>80</v>
      </c>
      <c r="AT49">
        <v>88</v>
      </c>
      <c r="AU49">
        <v>88</v>
      </c>
      <c r="AV49">
        <v>84</v>
      </c>
      <c r="AW49">
        <v>78</v>
      </c>
      <c r="AX49">
        <v>80</v>
      </c>
      <c r="AY49">
        <v>85</v>
      </c>
      <c r="AZ49">
        <v>83</v>
      </c>
      <c r="BA49">
        <v>84</v>
      </c>
      <c r="BB49">
        <v>81</v>
      </c>
      <c r="BC49">
        <v>84</v>
      </c>
      <c r="BD49">
        <v>90</v>
      </c>
      <c r="BE49">
        <v>86</v>
      </c>
      <c r="BF49">
        <v>81</v>
      </c>
      <c r="BG49">
        <v>80</v>
      </c>
      <c r="BH49">
        <v>86</v>
      </c>
      <c r="BI49">
        <v>83</v>
      </c>
      <c r="BJ49">
        <v>85</v>
      </c>
      <c r="BK49">
        <v>82</v>
      </c>
      <c r="BL49">
        <v>90</v>
      </c>
      <c r="BM49">
        <v>84</v>
      </c>
      <c r="BN49">
        <v>86</v>
      </c>
      <c r="BO49">
        <v>84</v>
      </c>
      <c r="BP49">
        <v>84</v>
      </c>
      <c r="BQ49">
        <v>88</v>
      </c>
      <c r="BR49">
        <v>85</v>
      </c>
      <c r="BS49">
        <v>87</v>
      </c>
      <c r="BT49">
        <v>87</v>
      </c>
      <c r="BU49">
        <v>80</v>
      </c>
      <c r="BV49">
        <v>82</v>
      </c>
      <c r="BW49">
        <v>84</v>
      </c>
      <c r="BX49">
        <v>86</v>
      </c>
      <c r="BY49">
        <v>86</v>
      </c>
      <c r="BZ49">
        <v>86</v>
      </c>
      <c r="CA49">
        <v>83</v>
      </c>
      <c r="CB49">
        <v>90</v>
      </c>
      <c r="CC49" s="19" t="s">
        <v>1005</v>
      </c>
      <c r="CD49" s="19" t="s">
        <v>994</v>
      </c>
      <c r="CE49" s="43" t="s">
        <v>1058</v>
      </c>
      <c r="CF49" s="19" t="s">
        <v>996</v>
      </c>
      <c r="CJ49" s="19"/>
      <c r="CK49" s="13">
        <v>92</v>
      </c>
      <c r="CL49">
        <v>87.3333333333333</v>
      </c>
      <c r="CM49">
        <v>88</v>
      </c>
      <c r="CN49">
        <v>87</v>
      </c>
      <c r="CO49" s="13">
        <v>82.5</v>
      </c>
      <c r="CP49" s="13">
        <v>89.0277777777778</v>
      </c>
      <c r="CQ49" s="13">
        <f t="shared" si="0"/>
        <v>83.5</v>
      </c>
      <c r="CR49" s="13">
        <f t="shared" si="1"/>
        <v>83.833333333333329</v>
      </c>
      <c r="CS49" s="13">
        <f t="shared" si="2"/>
        <v>79.833333333333329</v>
      </c>
      <c r="CT49" s="13">
        <f t="shared" si="3"/>
        <v>88.833333333333329</v>
      </c>
      <c r="CU49" s="13">
        <f t="shared" si="4"/>
        <v>83.5</v>
      </c>
      <c r="CV49" s="13">
        <f t="shared" si="5"/>
        <v>82</v>
      </c>
      <c r="CW49" s="13">
        <f t="shared" si="6"/>
        <v>85</v>
      </c>
      <c r="CX49" s="13">
        <f t="shared" si="7"/>
        <v>86.5</v>
      </c>
      <c r="CY49" s="13">
        <f t="shared" si="8"/>
        <v>82.5</v>
      </c>
      <c r="CZ49" s="13">
        <f t="shared" si="9"/>
        <v>84</v>
      </c>
      <c r="DA49" s="13">
        <f t="shared" si="10"/>
        <v>79</v>
      </c>
      <c r="DB49" s="13">
        <f t="shared" si="11"/>
        <v>83.5</v>
      </c>
      <c r="DC49" s="13">
        <f t="shared" si="12"/>
        <v>83</v>
      </c>
      <c r="DD49" s="13">
        <f t="shared" si="13"/>
        <v>87</v>
      </c>
      <c r="DE49" s="13">
        <f t="shared" si="14"/>
        <v>85</v>
      </c>
      <c r="DF49" s="13">
        <f t="shared" si="15"/>
        <v>84.5</v>
      </c>
      <c r="DG49" s="13">
        <f t="shared" si="16"/>
        <v>86.75</v>
      </c>
      <c r="DH49" s="13">
        <f t="shared" si="17"/>
        <v>85.5</v>
      </c>
      <c r="DI49" s="13">
        <f t="shared" si="18"/>
        <v>81</v>
      </c>
      <c r="DJ49" s="13">
        <f t="shared" si="19"/>
        <v>84.5</v>
      </c>
      <c r="DK49" s="13">
        <f t="shared" si="20"/>
        <v>83.962500000000006</v>
      </c>
    </row>
    <row r="50" spans="1:115">
      <c r="A50">
        <v>49</v>
      </c>
      <c r="B50">
        <f>'DATA US'!B63</f>
        <v>222310047</v>
      </c>
      <c r="C50" t="str">
        <f>'DATA US'!F63</f>
        <v>BEKASI</v>
      </c>
      <c r="D50" s="37" t="str">
        <f>'DATA US'!G63</f>
        <v>16 Juli 2007</v>
      </c>
      <c r="E50" t="str">
        <f>'DATA US'!C63</f>
        <v>0078523307</v>
      </c>
      <c r="F50" t="str">
        <f>'DATA US'!D63</f>
        <v>MUHAMAD RIZKI ZAELANI</v>
      </c>
      <c r="G50">
        <v>81</v>
      </c>
      <c r="H50">
        <v>83</v>
      </c>
      <c r="I50">
        <v>82</v>
      </c>
      <c r="J50">
        <v>80</v>
      </c>
      <c r="K50">
        <v>83</v>
      </c>
      <c r="L50">
        <v>86</v>
      </c>
      <c r="M50">
        <v>83</v>
      </c>
      <c r="N50">
        <v>84</v>
      </c>
      <c r="O50">
        <v>83</v>
      </c>
      <c r="P50">
        <v>85</v>
      </c>
      <c r="Q50">
        <v>83</v>
      </c>
      <c r="R50">
        <v>83</v>
      </c>
      <c r="S50">
        <v>80</v>
      </c>
      <c r="T50">
        <v>85</v>
      </c>
      <c r="U50">
        <v>89</v>
      </c>
      <c r="V50">
        <v>89</v>
      </c>
      <c r="W50">
        <v>85</v>
      </c>
      <c r="X50">
        <v>89</v>
      </c>
      <c r="Y50">
        <v>81</v>
      </c>
      <c r="Z50">
        <v>76</v>
      </c>
      <c r="AA50">
        <v>81</v>
      </c>
      <c r="AB50">
        <v>81</v>
      </c>
      <c r="AC50">
        <v>84</v>
      </c>
      <c r="AD50">
        <v>87</v>
      </c>
      <c r="AE50">
        <v>82</v>
      </c>
      <c r="AF50">
        <v>78</v>
      </c>
      <c r="AG50">
        <v>83</v>
      </c>
      <c r="AH50">
        <v>81</v>
      </c>
      <c r="AI50">
        <v>86</v>
      </c>
      <c r="AJ50">
        <v>86</v>
      </c>
      <c r="AK50">
        <v>85</v>
      </c>
      <c r="AL50">
        <v>81</v>
      </c>
      <c r="AP50" t="s">
        <v>992</v>
      </c>
      <c r="AQ50">
        <v>85</v>
      </c>
      <c r="AR50">
        <v>81</v>
      </c>
      <c r="AS50">
        <v>81</v>
      </c>
      <c r="AT50">
        <v>80</v>
      </c>
      <c r="AU50">
        <v>85</v>
      </c>
      <c r="AV50">
        <v>82</v>
      </c>
      <c r="AW50">
        <v>83</v>
      </c>
      <c r="AX50">
        <v>83</v>
      </c>
      <c r="AY50">
        <v>85</v>
      </c>
      <c r="AZ50">
        <v>82</v>
      </c>
      <c r="BA50">
        <v>84</v>
      </c>
      <c r="BB50">
        <v>83</v>
      </c>
      <c r="BC50">
        <v>81</v>
      </c>
      <c r="BD50">
        <v>82</v>
      </c>
      <c r="BE50">
        <v>83</v>
      </c>
      <c r="BF50">
        <v>81</v>
      </c>
      <c r="BG50">
        <v>78</v>
      </c>
      <c r="BH50">
        <v>83</v>
      </c>
      <c r="BI50">
        <v>80</v>
      </c>
      <c r="BJ50">
        <v>83</v>
      </c>
      <c r="BK50">
        <v>82</v>
      </c>
      <c r="BL50">
        <v>90</v>
      </c>
      <c r="BM50">
        <v>80</v>
      </c>
      <c r="BN50">
        <v>83</v>
      </c>
      <c r="BO50">
        <v>82</v>
      </c>
      <c r="BP50">
        <v>82</v>
      </c>
      <c r="BQ50">
        <v>91</v>
      </c>
      <c r="BR50">
        <v>87</v>
      </c>
      <c r="BS50">
        <v>86</v>
      </c>
      <c r="BT50">
        <v>86</v>
      </c>
      <c r="BU50">
        <v>80</v>
      </c>
      <c r="BV50">
        <v>83</v>
      </c>
      <c r="BW50">
        <v>84</v>
      </c>
      <c r="BX50">
        <v>85</v>
      </c>
      <c r="BY50">
        <v>86</v>
      </c>
      <c r="BZ50">
        <v>86</v>
      </c>
      <c r="CA50">
        <v>85</v>
      </c>
      <c r="CB50">
        <v>85</v>
      </c>
      <c r="CC50" s="19" t="s">
        <v>1063</v>
      </c>
      <c r="CD50" s="19" t="s">
        <v>1064</v>
      </c>
      <c r="CE50" s="43" t="s">
        <v>1065</v>
      </c>
      <c r="CF50" s="19" t="s">
        <v>1000</v>
      </c>
      <c r="CJ50" s="19"/>
      <c r="CK50" s="13">
        <v>91.3333333333333</v>
      </c>
      <c r="CL50">
        <v>83</v>
      </c>
      <c r="CM50">
        <v>87</v>
      </c>
      <c r="CN50">
        <v>86</v>
      </c>
      <c r="CO50" s="13">
        <v>82.5</v>
      </c>
      <c r="CP50" s="13">
        <v>89.75</v>
      </c>
      <c r="CQ50" s="13">
        <f t="shared" si="0"/>
        <v>82.5</v>
      </c>
      <c r="CR50" s="13">
        <f t="shared" si="1"/>
        <v>83.5</v>
      </c>
      <c r="CS50" s="13">
        <f t="shared" si="2"/>
        <v>81.666666666666671</v>
      </c>
      <c r="CT50" s="13">
        <f t="shared" si="3"/>
        <v>86.166666666666671</v>
      </c>
      <c r="CU50" s="13">
        <f t="shared" si="4"/>
        <v>82.666666666666671</v>
      </c>
      <c r="CV50" s="13">
        <f t="shared" si="5"/>
        <v>83</v>
      </c>
      <c r="CW50" s="13">
        <f t="shared" si="6"/>
        <v>82</v>
      </c>
      <c r="CX50" s="13">
        <f t="shared" si="7"/>
        <v>85</v>
      </c>
      <c r="CY50" s="13">
        <f t="shared" si="8"/>
        <v>83.5</v>
      </c>
      <c r="CZ50" s="13">
        <f t="shared" si="9"/>
        <v>83.5</v>
      </c>
      <c r="DA50" s="13">
        <f t="shared" si="10"/>
        <v>83</v>
      </c>
      <c r="DB50" s="13">
        <f t="shared" si="11"/>
        <v>82</v>
      </c>
      <c r="DC50" s="13">
        <f t="shared" si="12"/>
        <v>80.5</v>
      </c>
      <c r="DD50" s="13">
        <f t="shared" si="13"/>
        <v>81.5</v>
      </c>
      <c r="DE50" s="13">
        <f t="shared" si="14"/>
        <v>83.75</v>
      </c>
      <c r="DF50" s="13">
        <f t="shared" si="15"/>
        <v>81.75</v>
      </c>
      <c r="DG50" s="13">
        <f t="shared" si="16"/>
        <v>87.5</v>
      </c>
      <c r="DH50" s="13">
        <f t="shared" si="17"/>
        <v>85.25</v>
      </c>
      <c r="DI50" s="13">
        <f t="shared" si="18"/>
        <v>81.5</v>
      </c>
      <c r="DJ50" s="13">
        <f t="shared" si="19"/>
        <v>83</v>
      </c>
      <c r="DK50" s="13">
        <f t="shared" si="20"/>
        <v>83.162499999999994</v>
      </c>
    </row>
    <row r="51" spans="1:115">
      <c r="A51">
        <v>50</v>
      </c>
      <c r="B51">
        <f>'DATA US'!B64</f>
        <v>222310048</v>
      </c>
      <c r="C51" t="str">
        <f>'DATA US'!F64</f>
        <v>BEKASI</v>
      </c>
      <c r="D51" s="37" t="str">
        <f>'DATA US'!G64</f>
        <v>22 September 2007</v>
      </c>
      <c r="E51" t="str">
        <f>'DATA US'!C64</f>
        <v>0075254799</v>
      </c>
      <c r="F51" t="str">
        <f>'DATA US'!D64</f>
        <v>MUHAMMAD FAREL RAMDANI</v>
      </c>
      <c r="G51">
        <v>81</v>
      </c>
      <c r="H51">
        <v>78</v>
      </c>
      <c r="I51">
        <v>80</v>
      </c>
      <c r="J51">
        <v>80</v>
      </c>
      <c r="K51">
        <v>83</v>
      </c>
      <c r="L51">
        <v>83</v>
      </c>
      <c r="M51">
        <v>85</v>
      </c>
      <c r="N51">
        <v>85</v>
      </c>
      <c r="O51">
        <v>81</v>
      </c>
      <c r="P51">
        <v>84</v>
      </c>
      <c r="Q51">
        <v>82</v>
      </c>
      <c r="R51">
        <v>82</v>
      </c>
      <c r="S51">
        <v>81</v>
      </c>
      <c r="T51">
        <v>81</v>
      </c>
      <c r="U51">
        <v>89</v>
      </c>
      <c r="V51">
        <v>89</v>
      </c>
      <c r="W51">
        <v>84</v>
      </c>
      <c r="X51">
        <v>93</v>
      </c>
      <c r="Y51">
        <v>75</v>
      </c>
      <c r="Z51">
        <v>76</v>
      </c>
      <c r="AA51">
        <v>80</v>
      </c>
      <c r="AB51">
        <v>83</v>
      </c>
      <c r="AC51">
        <v>81</v>
      </c>
      <c r="AD51">
        <v>87</v>
      </c>
      <c r="AE51">
        <v>77</v>
      </c>
      <c r="AF51">
        <v>80</v>
      </c>
      <c r="AG51">
        <v>82</v>
      </c>
      <c r="AH51">
        <v>87</v>
      </c>
      <c r="AI51">
        <v>88</v>
      </c>
      <c r="AJ51">
        <v>88</v>
      </c>
      <c r="AK51">
        <v>84</v>
      </c>
      <c r="AL51">
        <v>82</v>
      </c>
      <c r="AP51" t="s">
        <v>992</v>
      </c>
      <c r="AQ51">
        <v>82</v>
      </c>
      <c r="AR51">
        <v>81</v>
      </c>
      <c r="AS51">
        <v>81</v>
      </c>
      <c r="AT51">
        <v>80</v>
      </c>
      <c r="AU51">
        <v>87</v>
      </c>
      <c r="AV51">
        <v>84</v>
      </c>
      <c r="AW51">
        <v>78</v>
      </c>
      <c r="AX51">
        <v>86</v>
      </c>
      <c r="AY51">
        <v>84</v>
      </c>
      <c r="AZ51">
        <v>85</v>
      </c>
      <c r="BA51">
        <v>84</v>
      </c>
      <c r="BB51">
        <v>84</v>
      </c>
      <c r="BC51">
        <v>80</v>
      </c>
      <c r="BD51">
        <v>80</v>
      </c>
      <c r="BE51">
        <v>81</v>
      </c>
      <c r="BF51">
        <v>81</v>
      </c>
      <c r="BG51">
        <v>80</v>
      </c>
      <c r="BH51">
        <v>81</v>
      </c>
      <c r="BI51">
        <v>80</v>
      </c>
      <c r="BJ51">
        <v>83</v>
      </c>
      <c r="BK51">
        <v>83</v>
      </c>
      <c r="BL51">
        <v>90</v>
      </c>
      <c r="BM51">
        <v>80</v>
      </c>
      <c r="BN51">
        <v>85</v>
      </c>
      <c r="BO51">
        <v>82</v>
      </c>
      <c r="BP51">
        <v>82</v>
      </c>
      <c r="BQ51">
        <v>92</v>
      </c>
      <c r="BR51">
        <v>86</v>
      </c>
      <c r="BS51">
        <v>86</v>
      </c>
      <c r="BT51">
        <v>86</v>
      </c>
      <c r="BU51">
        <v>83</v>
      </c>
      <c r="BV51">
        <v>84</v>
      </c>
      <c r="BW51">
        <v>85</v>
      </c>
      <c r="BX51">
        <v>86</v>
      </c>
      <c r="BY51">
        <v>86</v>
      </c>
      <c r="BZ51">
        <v>86</v>
      </c>
      <c r="CA51">
        <v>84</v>
      </c>
      <c r="CB51">
        <v>83</v>
      </c>
      <c r="CC51" s="19" t="s">
        <v>993</v>
      </c>
      <c r="CD51" s="19" t="s">
        <v>994</v>
      </c>
      <c r="CE51" s="43" t="s">
        <v>1059</v>
      </c>
      <c r="CF51" s="19" t="s">
        <v>996</v>
      </c>
      <c r="CJ51" s="19"/>
      <c r="CK51" s="13">
        <v>90.3333333333333</v>
      </c>
      <c r="CL51">
        <v>83</v>
      </c>
      <c r="CM51">
        <v>82</v>
      </c>
      <c r="CN51">
        <v>84</v>
      </c>
      <c r="CO51" s="13">
        <v>82.25</v>
      </c>
      <c r="CP51" s="13">
        <v>88.7777777777778</v>
      </c>
      <c r="CQ51" s="13">
        <f t="shared" si="0"/>
        <v>80.833333333333329</v>
      </c>
      <c r="CR51" s="13">
        <f t="shared" si="1"/>
        <v>83.166666666666671</v>
      </c>
      <c r="CS51" s="13">
        <f t="shared" si="2"/>
        <v>80.333333333333329</v>
      </c>
      <c r="CT51" s="13">
        <f t="shared" si="3"/>
        <v>86.166666666666671</v>
      </c>
      <c r="CU51" s="13">
        <f t="shared" si="4"/>
        <v>83.666666666666671</v>
      </c>
      <c r="CV51" s="13">
        <f t="shared" si="5"/>
        <v>81.5</v>
      </c>
      <c r="CW51" s="13">
        <f t="shared" si="6"/>
        <v>83</v>
      </c>
      <c r="CX51" s="13">
        <f t="shared" si="7"/>
        <v>83.5</v>
      </c>
      <c r="CY51" s="13">
        <f t="shared" si="8"/>
        <v>84</v>
      </c>
      <c r="CZ51" s="13">
        <f t="shared" si="9"/>
        <v>84.5</v>
      </c>
      <c r="DA51" s="13">
        <f t="shared" si="10"/>
        <v>82</v>
      </c>
      <c r="DB51" s="13">
        <f t="shared" si="11"/>
        <v>81</v>
      </c>
      <c r="DC51" s="13">
        <f t="shared" si="12"/>
        <v>80.5</v>
      </c>
      <c r="DD51" s="13">
        <f t="shared" si="13"/>
        <v>80</v>
      </c>
      <c r="DE51" s="13">
        <f t="shared" si="14"/>
        <v>84</v>
      </c>
      <c r="DF51" s="13">
        <f t="shared" si="15"/>
        <v>82.25</v>
      </c>
      <c r="DG51" s="13">
        <f t="shared" si="16"/>
        <v>87.5</v>
      </c>
      <c r="DH51" s="13">
        <f t="shared" si="17"/>
        <v>85.75</v>
      </c>
      <c r="DI51" s="13">
        <f t="shared" si="18"/>
        <v>83.5</v>
      </c>
      <c r="DJ51" s="13">
        <f t="shared" si="19"/>
        <v>83</v>
      </c>
      <c r="DK51" s="13">
        <f t="shared" si="20"/>
        <v>83.00833333333334</v>
      </c>
    </row>
    <row r="52" spans="1:115">
      <c r="A52">
        <v>51</v>
      </c>
      <c r="B52">
        <f>'DATA US'!B65</f>
        <v>222310049</v>
      </c>
      <c r="C52" t="str">
        <f>'DATA US'!F65</f>
        <v>BEKASI</v>
      </c>
      <c r="D52" s="37" t="str">
        <f>'DATA US'!G65</f>
        <v>29 Juni 2007</v>
      </c>
      <c r="E52" t="str">
        <f>'DATA US'!C65</f>
        <v>0071919948</v>
      </c>
      <c r="F52" t="str">
        <f>'DATA US'!D65</f>
        <v>MUHAMMAD PANJI AZ-ZIRA</v>
      </c>
      <c r="G52">
        <v>81</v>
      </c>
      <c r="H52">
        <v>79</v>
      </c>
      <c r="I52">
        <v>80</v>
      </c>
      <c r="J52">
        <v>82</v>
      </c>
      <c r="K52">
        <v>83</v>
      </c>
      <c r="L52">
        <v>83</v>
      </c>
      <c r="M52">
        <v>83</v>
      </c>
      <c r="N52">
        <v>83</v>
      </c>
      <c r="O52">
        <v>82</v>
      </c>
      <c r="P52">
        <v>83</v>
      </c>
      <c r="Q52">
        <v>81</v>
      </c>
      <c r="R52">
        <v>81</v>
      </c>
      <c r="S52">
        <v>84</v>
      </c>
      <c r="T52">
        <v>86</v>
      </c>
      <c r="U52">
        <v>84</v>
      </c>
      <c r="V52">
        <v>84</v>
      </c>
      <c r="W52">
        <v>82</v>
      </c>
      <c r="X52">
        <v>86</v>
      </c>
      <c r="Y52">
        <v>75</v>
      </c>
      <c r="Z52">
        <v>78</v>
      </c>
      <c r="AA52">
        <v>78</v>
      </c>
      <c r="AB52">
        <v>80</v>
      </c>
      <c r="AC52">
        <v>83</v>
      </c>
      <c r="AD52">
        <v>83</v>
      </c>
      <c r="AE52">
        <v>79</v>
      </c>
      <c r="AF52">
        <v>79</v>
      </c>
      <c r="AG52">
        <v>80</v>
      </c>
      <c r="AH52">
        <v>81</v>
      </c>
      <c r="AI52">
        <v>84</v>
      </c>
      <c r="AJ52">
        <v>84</v>
      </c>
      <c r="AK52">
        <v>83</v>
      </c>
      <c r="AL52">
        <v>83</v>
      </c>
      <c r="AP52" t="s">
        <v>992</v>
      </c>
      <c r="AQ52">
        <v>82</v>
      </c>
      <c r="AR52">
        <v>81</v>
      </c>
      <c r="AS52">
        <v>80</v>
      </c>
      <c r="AT52">
        <v>79</v>
      </c>
      <c r="AU52">
        <v>88</v>
      </c>
      <c r="AV52">
        <v>85</v>
      </c>
      <c r="AW52">
        <v>79</v>
      </c>
      <c r="AX52">
        <v>80</v>
      </c>
      <c r="AY52">
        <v>83</v>
      </c>
      <c r="AZ52">
        <v>84</v>
      </c>
      <c r="BA52">
        <v>83</v>
      </c>
      <c r="BB52">
        <v>81</v>
      </c>
      <c r="BC52">
        <v>80</v>
      </c>
      <c r="BD52">
        <v>87</v>
      </c>
      <c r="BE52">
        <v>81</v>
      </c>
      <c r="BF52">
        <v>78</v>
      </c>
      <c r="BG52">
        <v>78</v>
      </c>
      <c r="BH52">
        <v>81</v>
      </c>
      <c r="BI52">
        <v>86</v>
      </c>
      <c r="BJ52">
        <v>86</v>
      </c>
      <c r="BK52">
        <v>82</v>
      </c>
      <c r="BL52">
        <v>90</v>
      </c>
      <c r="BM52">
        <v>85</v>
      </c>
      <c r="BN52">
        <v>86</v>
      </c>
      <c r="BO52">
        <v>84</v>
      </c>
      <c r="BP52">
        <v>84</v>
      </c>
      <c r="BQ52">
        <v>88</v>
      </c>
      <c r="BR52">
        <v>85</v>
      </c>
      <c r="BS52">
        <v>84</v>
      </c>
      <c r="BT52">
        <v>84</v>
      </c>
      <c r="BU52">
        <v>80</v>
      </c>
      <c r="BV52">
        <v>80</v>
      </c>
      <c r="BW52">
        <v>83</v>
      </c>
      <c r="BX52">
        <v>84</v>
      </c>
      <c r="BY52">
        <v>80</v>
      </c>
      <c r="BZ52">
        <v>84</v>
      </c>
      <c r="CA52">
        <v>82</v>
      </c>
      <c r="CB52">
        <v>85</v>
      </c>
      <c r="CC52" s="19" t="s">
        <v>1033</v>
      </c>
      <c r="CD52" s="19" t="s">
        <v>994</v>
      </c>
      <c r="CE52" s="43" t="s">
        <v>1034</v>
      </c>
      <c r="CF52" s="293" t="s">
        <v>996</v>
      </c>
      <c r="CJ52" s="20"/>
      <c r="CK52" s="13">
        <v>90</v>
      </c>
      <c r="CL52">
        <v>82</v>
      </c>
      <c r="CM52">
        <v>82</v>
      </c>
      <c r="CN52">
        <v>88</v>
      </c>
      <c r="CO52" s="13">
        <v>81.75</v>
      </c>
      <c r="CP52" s="13">
        <v>84.0833333333333</v>
      </c>
      <c r="CQ52" s="13">
        <f t="shared" si="0"/>
        <v>81.333333333333329</v>
      </c>
      <c r="CR52" s="13">
        <f t="shared" si="1"/>
        <v>82.166666666666671</v>
      </c>
      <c r="CS52" s="13">
        <f t="shared" si="2"/>
        <v>79.5</v>
      </c>
      <c r="CT52" s="13">
        <f t="shared" si="3"/>
        <v>84.333333333333329</v>
      </c>
      <c r="CU52" s="13">
        <f t="shared" si="4"/>
        <v>81.166666666666671</v>
      </c>
      <c r="CV52" s="13">
        <f t="shared" si="5"/>
        <v>81.5</v>
      </c>
      <c r="CW52" s="13">
        <f t="shared" si="6"/>
        <v>83</v>
      </c>
      <c r="CX52" s="13">
        <f t="shared" si="7"/>
        <v>83.5</v>
      </c>
      <c r="CY52" s="13">
        <f t="shared" si="8"/>
        <v>82</v>
      </c>
      <c r="CZ52" s="13">
        <f t="shared" si="9"/>
        <v>83.5</v>
      </c>
      <c r="DA52" s="13">
        <f t="shared" si="10"/>
        <v>79.5</v>
      </c>
      <c r="DB52" s="13">
        <f t="shared" si="11"/>
        <v>79.5</v>
      </c>
      <c r="DC52" s="13">
        <f t="shared" si="12"/>
        <v>79.5</v>
      </c>
      <c r="DD52" s="13">
        <f t="shared" si="13"/>
        <v>83.5</v>
      </c>
      <c r="DE52" s="13">
        <f t="shared" si="14"/>
        <v>86</v>
      </c>
      <c r="DF52" s="13">
        <f t="shared" si="15"/>
        <v>84.75</v>
      </c>
      <c r="DG52" s="13">
        <f t="shared" si="16"/>
        <v>85.25</v>
      </c>
      <c r="DH52" s="13">
        <f t="shared" si="17"/>
        <v>82.75</v>
      </c>
      <c r="DI52" s="13">
        <f t="shared" si="18"/>
        <v>80</v>
      </c>
      <c r="DJ52" s="13">
        <f t="shared" si="19"/>
        <v>83</v>
      </c>
      <c r="DK52" s="13">
        <f t="shared" si="20"/>
        <v>82.287499999999994</v>
      </c>
    </row>
    <row r="53" spans="1:115">
      <c r="A53">
        <v>52</v>
      </c>
      <c r="B53">
        <f>'DATA US'!B66</f>
        <v>222310050</v>
      </c>
      <c r="C53" t="str">
        <f>'DATA US'!F66</f>
        <v>BEKASI</v>
      </c>
      <c r="D53" s="37" t="str">
        <f>'DATA US'!G66</f>
        <v>22 Desember 2006</v>
      </c>
      <c r="E53" t="str">
        <f>'DATA US'!C66</f>
        <v>0067237318</v>
      </c>
      <c r="F53" t="str">
        <f>'DATA US'!D66</f>
        <v>RANGGA TRI AFRIZAL</v>
      </c>
      <c r="G53">
        <v>79</v>
      </c>
      <c r="H53">
        <v>79</v>
      </c>
      <c r="I53">
        <v>82</v>
      </c>
      <c r="J53">
        <v>80</v>
      </c>
      <c r="K53">
        <v>83</v>
      </c>
      <c r="L53">
        <v>83</v>
      </c>
      <c r="M53">
        <v>83</v>
      </c>
      <c r="N53">
        <v>83</v>
      </c>
      <c r="O53">
        <v>83</v>
      </c>
      <c r="P53">
        <v>83</v>
      </c>
      <c r="Q53">
        <v>83</v>
      </c>
      <c r="R53">
        <v>83</v>
      </c>
      <c r="S53">
        <v>84</v>
      </c>
      <c r="T53">
        <v>81</v>
      </c>
      <c r="U53">
        <v>90</v>
      </c>
      <c r="V53">
        <v>90</v>
      </c>
      <c r="W53">
        <v>85</v>
      </c>
      <c r="X53">
        <v>88</v>
      </c>
      <c r="Y53">
        <v>75</v>
      </c>
      <c r="Z53">
        <v>78</v>
      </c>
      <c r="AA53">
        <v>81</v>
      </c>
      <c r="AB53">
        <v>79</v>
      </c>
      <c r="AC53">
        <v>80</v>
      </c>
      <c r="AD53">
        <v>87</v>
      </c>
      <c r="AE53">
        <v>82</v>
      </c>
      <c r="AF53">
        <v>79</v>
      </c>
      <c r="AG53">
        <v>86</v>
      </c>
      <c r="AH53">
        <v>85</v>
      </c>
      <c r="AI53">
        <v>85</v>
      </c>
      <c r="AJ53">
        <v>85</v>
      </c>
      <c r="AK53">
        <v>83</v>
      </c>
      <c r="AL53">
        <v>81</v>
      </c>
      <c r="AP53" t="s">
        <v>992</v>
      </c>
      <c r="AQ53">
        <v>83</v>
      </c>
      <c r="AR53">
        <v>82</v>
      </c>
      <c r="AS53">
        <v>80</v>
      </c>
      <c r="AT53">
        <v>79</v>
      </c>
      <c r="AU53">
        <v>87</v>
      </c>
      <c r="AV53">
        <v>84</v>
      </c>
      <c r="AW53">
        <v>78</v>
      </c>
      <c r="AX53">
        <v>79</v>
      </c>
      <c r="AY53">
        <v>84</v>
      </c>
      <c r="AZ53">
        <v>83</v>
      </c>
      <c r="BA53">
        <v>84</v>
      </c>
      <c r="BB53">
        <v>81</v>
      </c>
      <c r="BC53">
        <v>84</v>
      </c>
      <c r="BD53">
        <v>86</v>
      </c>
      <c r="BE53">
        <v>82</v>
      </c>
      <c r="BF53">
        <v>81</v>
      </c>
      <c r="BG53">
        <v>80</v>
      </c>
      <c r="BH53">
        <v>82</v>
      </c>
      <c r="BI53">
        <v>80</v>
      </c>
      <c r="BJ53">
        <v>81</v>
      </c>
      <c r="BK53">
        <v>82</v>
      </c>
      <c r="BL53">
        <v>90</v>
      </c>
      <c r="BM53">
        <v>80</v>
      </c>
      <c r="BN53">
        <v>81</v>
      </c>
      <c r="BO53">
        <v>83</v>
      </c>
      <c r="BP53">
        <v>83</v>
      </c>
      <c r="BQ53">
        <v>88</v>
      </c>
      <c r="BR53">
        <v>85</v>
      </c>
      <c r="BS53">
        <v>86</v>
      </c>
      <c r="BT53">
        <v>86</v>
      </c>
      <c r="BU53">
        <v>80</v>
      </c>
      <c r="BV53">
        <v>83</v>
      </c>
      <c r="BW53">
        <v>85</v>
      </c>
      <c r="BX53">
        <v>86</v>
      </c>
      <c r="BY53">
        <v>86</v>
      </c>
      <c r="BZ53">
        <v>86</v>
      </c>
      <c r="CA53">
        <v>84</v>
      </c>
      <c r="CB53">
        <v>84</v>
      </c>
      <c r="CC53" t="s">
        <v>993</v>
      </c>
      <c r="CD53" t="s">
        <v>994</v>
      </c>
      <c r="CE53" s="36" t="s">
        <v>995</v>
      </c>
      <c r="CF53" s="19" t="s">
        <v>996</v>
      </c>
      <c r="CJ53" s="19"/>
      <c r="CK53" s="13">
        <v>88.6666666666667</v>
      </c>
      <c r="CL53">
        <v>82.6666666666667</v>
      </c>
      <c r="CM53">
        <v>82</v>
      </c>
      <c r="CN53">
        <v>90</v>
      </c>
      <c r="CO53" s="13">
        <v>82.5</v>
      </c>
      <c r="CP53" s="13">
        <v>88.5555555555555</v>
      </c>
      <c r="CQ53" s="13">
        <f t="shared" si="0"/>
        <v>81</v>
      </c>
      <c r="CR53" s="13">
        <f t="shared" si="1"/>
        <v>83</v>
      </c>
      <c r="CS53" s="13">
        <f t="shared" si="2"/>
        <v>80</v>
      </c>
      <c r="CT53" s="13">
        <f t="shared" si="3"/>
        <v>86.333333333333329</v>
      </c>
      <c r="CU53" s="13">
        <f t="shared" si="4"/>
        <v>83.666666666666671</v>
      </c>
      <c r="CV53" s="13">
        <f t="shared" si="5"/>
        <v>82.5</v>
      </c>
      <c r="CW53" s="13">
        <f t="shared" si="6"/>
        <v>82.5</v>
      </c>
      <c r="CX53" s="13">
        <f t="shared" si="7"/>
        <v>84</v>
      </c>
      <c r="CY53" s="13">
        <f t="shared" si="8"/>
        <v>82.5</v>
      </c>
      <c r="CZ53" s="13">
        <f t="shared" si="9"/>
        <v>83.5</v>
      </c>
      <c r="DA53" s="13">
        <f t="shared" si="10"/>
        <v>78.5</v>
      </c>
      <c r="DB53" s="13">
        <f t="shared" si="11"/>
        <v>81.5</v>
      </c>
      <c r="DC53" s="13">
        <f t="shared" si="12"/>
        <v>81</v>
      </c>
      <c r="DD53" s="13">
        <f t="shared" si="13"/>
        <v>85</v>
      </c>
      <c r="DE53" s="13">
        <f t="shared" si="14"/>
        <v>83.25</v>
      </c>
      <c r="DF53" s="13">
        <f t="shared" si="15"/>
        <v>81.75</v>
      </c>
      <c r="DG53" s="13">
        <f t="shared" si="16"/>
        <v>86.25</v>
      </c>
      <c r="DH53" s="13">
        <f t="shared" si="17"/>
        <v>85.75</v>
      </c>
      <c r="DI53" s="13">
        <f t="shared" si="18"/>
        <v>81.5</v>
      </c>
      <c r="DJ53" s="13">
        <f t="shared" si="19"/>
        <v>82</v>
      </c>
      <c r="DK53" s="13">
        <f t="shared" si="20"/>
        <v>82.775000000000006</v>
      </c>
    </row>
    <row r="54" spans="1:115">
      <c r="A54">
        <v>53</v>
      </c>
      <c r="B54">
        <f>'DATA US'!B67</f>
        <v>222310051</v>
      </c>
      <c r="C54" t="str">
        <f>'DATA US'!F67</f>
        <v>BEKASI</v>
      </c>
      <c r="D54" s="37" t="str">
        <f>'DATA US'!G67</f>
        <v>15 juni 2007</v>
      </c>
      <c r="E54" t="str">
        <f>'DATA US'!C67</f>
        <v>0074078433</v>
      </c>
      <c r="F54" t="str">
        <f>'DATA US'!D67</f>
        <v>REYHANUDIEN  JUNOS</v>
      </c>
      <c r="G54">
        <v>85</v>
      </c>
      <c r="H54">
        <v>83</v>
      </c>
      <c r="I54">
        <v>87</v>
      </c>
      <c r="J54">
        <v>86</v>
      </c>
      <c r="K54">
        <v>85</v>
      </c>
      <c r="L54">
        <v>86</v>
      </c>
      <c r="M54">
        <v>83</v>
      </c>
      <c r="N54">
        <v>85</v>
      </c>
      <c r="O54">
        <v>83</v>
      </c>
      <c r="P54">
        <v>83</v>
      </c>
      <c r="Q54">
        <v>82</v>
      </c>
      <c r="R54">
        <v>82</v>
      </c>
      <c r="S54">
        <v>81</v>
      </c>
      <c r="T54">
        <v>85</v>
      </c>
      <c r="U54">
        <v>90</v>
      </c>
      <c r="V54">
        <v>89</v>
      </c>
      <c r="W54">
        <v>85</v>
      </c>
      <c r="X54">
        <v>89</v>
      </c>
      <c r="Y54">
        <v>76</v>
      </c>
      <c r="Z54">
        <v>80</v>
      </c>
      <c r="AA54">
        <v>81</v>
      </c>
      <c r="AB54">
        <v>80</v>
      </c>
      <c r="AC54">
        <v>80</v>
      </c>
      <c r="AD54">
        <v>88</v>
      </c>
      <c r="AE54">
        <v>79</v>
      </c>
      <c r="AF54">
        <v>77</v>
      </c>
      <c r="AG54">
        <v>84</v>
      </c>
      <c r="AH54">
        <v>86</v>
      </c>
      <c r="AI54">
        <v>86</v>
      </c>
      <c r="AJ54">
        <v>86</v>
      </c>
      <c r="AK54">
        <v>85</v>
      </c>
      <c r="AL54">
        <v>84</v>
      </c>
      <c r="AP54" t="s">
        <v>992</v>
      </c>
      <c r="AQ54">
        <v>82</v>
      </c>
      <c r="AR54">
        <v>81</v>
      </c>
      <c r="AS54">
        <v>81</v>
      </c>
      <c r="AT54">
        <v>80</v>
      </c>
      <c r="AU54">
        <v>82</v>
      </c>
      <c r="AV54">
        <v>80</v>
      </c>
      <c r="AW54">
        <v>76</v>
      </c>
      <c r="AX54">
        <v>80</v>
      </c>
      <c r="AY54">
        <v>83</v>
      </c>
      <c r="AZ54">
        <v>82</v>
      </c>
      <c r="BA54">
        <v>83</v>
      </c>
      <c r="BB54">
        <v>81</v>
      </c>
      <c r="BC54">
        <v>77</v>
      </c>
      <c r="BD54">
        <v>87</v>
      </c>
      <c r="BE54">
        <v>81</v>
      </c>
      <c r="BF54">
        <v>81</v>
      </c>
      <c r="BG54">
        <v>80</v>
      </c>
      <c r="BH54">
        <v>81</v>
      </c>
      <c r="BI54">
        <v>84</v>
      </c>
      <c r="BJ54">
        <v>83</v>
      </c>
      <c r="BK54">
        <v>82</v>
      </c>
      <c r="BL54">
        <v>90</v>
      </c>
      <c r="BM54">
        <v>84</v>
      </c>
      <c r="BN54">
        <v>85</v>
      </c>
      <c r="BO54">
        <v>84</v>
      </c>
      <c r="BP54">
        <v>84</v>
      </c>
      <c r="BQ54">
        <v>91</v>
      </c>
      <c r="BR54">
        <v>85</v>
      </c>
      <c r="BS54">
        <v>86</v>
      </c>
      <c r="BT54">
        <v>87</v>
      </c>
      <c r="BU54">
        <v>80</v>
      </c>
      <c r="BV54">
        <v>80</v>
      </c>
      <c r="BW54">
        <v>83</v>
      </c>
      <c r="BX54">
        <v>85</v>
      </c>
      <c r="BY54">
        <v>83</v>
      </c>
      <c r="BZ54">
        <v>84</v>
      </c>
      <c r="CA54">
        <v>83</v>
      </c>
      <c r="CB54">
        <v>85</v>
      </c>
      <c r="CC54" s="19" t="s">
        <v>1033</v>
      </c>
      <c r="CD54" s="19" t="s">
        <v>994</v>
      </c>
      <c r="CE54" s="43" t="s">
        <v>1034</v>
      </c>
      <c r="CF54" s="19" t="s">
        <v>1000</v>
      </c>
      <c r="CJ54" s="19"/>
      <c r="CK54" s="13">
        <v>91.3333333333333</v>
      </c>
      <c r="CL54">
        <v>85.3333333333333</v>
      </c>
      <c r="CM54">
        <v>83</v>
      </c>
      <c r="CN54">
        <v>88</v>
      </c>
      <c r="CO54" s="13">
        <v>82.25</v>
      </c>
      <c r="CP54" s="13">
        <v>86.25</v>
      </c>
      <c r="CQ54" s="13">
        <f t="shared" si="0"/>
        <v>85.333333333333329</v>
      </c>
      <c r="CR54" s="13">
        <f t="shared" si="1"/>
        <v>83</v>
      </c>
      <c r="CS54" s="13">
        <f t="shared" si="2"/>
        <v>80.833333333333329</v>
      </c>
      <c r="CT54" s="13">
        <f t="shared" si="3"/>
        <v>86.5</v>
      </c>
      <c r="CU54" s="13">
        <f t="shared" si="4"/>
        <v>83</v>
      </c>
      <c r="CV54" s="13">
        <f t="shared" si="5"/>
        <v>81.5</v>
      </c>
      <c r="CW54" s="13">
        <f t="shared" si="6"/>
        <v>80.75</v>
      </c>
      <c r="CX54" s="13">
        <f t="shared" si="7"/>
        <v>84</v>
      </c>
      <c r="CY54" s="13">
        <f t="shared" si="8"/>
        <v>82</v>
      </c>
      <c r="CZ54" s="13">
        <f t="shared" si="9"/>
        <v>82.5</v>
      </c>
      <c r="DA54" s="13">
        <f t="shared" si="10"/>
        <v>78</v>
      </c>
      <c r="DB54" s="13">
        <f t="shared" si="11"/>
        <v>81</v>
      </c>
      <c r="DC54" s="13">
        <f t="shared" si="12"/>
        <v>80.5</v>
      </c>
      <c r="DD54" s="13">
        <f t="shared" si="13"/>
        <v>82</v>
      </c>
      <c r="DE54" s="13">
        <f t="shared" si="14"/>
        <v>84.75</v>
      </c>
      <c r="DF54" s="13">
        <f t="shared" si="15"/>
        <v>84.25</v>
      </c>
      <c r="DG54" s="13">
        <f t="shared" si="16"/>
        <v>87.25</v>
      </c>
      <c r="DH54" s="13">
        <f t="shared" si="17"/>
        <v>83.75</v>
      </c>
      <c r="DI54" s="13">
        <f t="shared" si="18"/>
        <v>80</v>
      </c>
      <c r="DJ54" s="13">
        <f t="shared" si="19"/>
        <v>84.5</v>
      </c>
      <c r="DK54" s="13">
        <f t="shared" si="20"/>
        <v>82.770833333333329</v>
      </c>
    </row>
    <row r="55" spans="1:115">
      <c r="A55">
        <v>54</v>
      </c>
      <c r="B55">
        <f>'DATA US'!B68</f>
        <v>222310052</v>
      </c>
      <c r="C55" t="str">
        <f>'DATA US'!F68</f>
        <v>BEKASI</v>
      </c>
      <c r="D55" s="37" t="str">
        <f>'DATA US'!G68</f>
        <v>9 Mei 2007</v>
      </c>
      <c r="E55" t="str">
        <f>'DATA US'!C68</f>
        <v>0076721700</v>
      </c>
      <c r="F55" t="str">
        <f>'DATA US'!D68</f>
        <v>RIZKY DWI FIRANSYAH</v>
      </c>
      <c r="G55">
        <v>77</v>
      </c>
      <c r="H55">
        <v>76</v>
      </c>
      <c r="I55">
        <v>81</v>
      </c>
      <c r="J55">
        <v>82</v>
      </c>
      <c r="K55">
        <v>83</v>
      </c>
      <c r="L55">
        <v>84</v>
      </c>
      <c r="M55">
        <v>80</v>
      </c>
      <c r="N55">
        <v>80</v>
      </c>
      <c r="O55">
        <v>81</v>
      </c>
      <c r="P55">
        <v>82</v>
      </c>
      <c r="Q55">
        <v>82</v>
      </c>
      <c r="R55">
        <v>82</v>
      </c>
      <c r="S55">
        <v>80</v>
      </c>
      <c r="T55">
        <v>81</v>
      </c>
      <c r="U55">
        <v>86</v>
      </c>
      <c r="V55">
        <v>87</v>
      </c>
      <c r="W55">
        <v>83</v>
      </c>
      <c r="X55">
        <v>89</v>
      </c>
      <c r="Y55">
        <v>75</v>
      </c>
      <c r="Z55">
        <v>76</v>
      </c>
      <c r="AA55">
        <v>79</v>
      </c>
      <c r="AB55">
        <v>79</v>
      </c>
      <c r="AC55">
        <v>83</v>
      </c>
      <c r="AD55">
        <v>89</v>
      </c>
      <c r="AE55">
        <v>78</v>
      </c>
      <c r="AF55">
        <v>78</v>
      </c>
      <c r="AG55">
        <v>81</v>
      </c>
      <c r="AH55">
        <v>81</v>
      </c>
      <c r="AI55">
        <v>88</v>
      </c>
      <c r="AJ55">
        <v>88</v>
      </c>
      <c r="AK55">
        <v>83</v>
      </c>
      <c r="AL55">
        <v>83</v>
      </c>
      <c r="AP55" t="s">
        <v>992</v>
      </c>
      <c r="AQ55">
        <v>81</v>
      </c>
      <c r="AR55">
        <v>81</v>
      </c>
      <c r="AS55">
        <v>80</v>
      </c>
      <c r="AT55">
        <v>79</v>
      </c>
      <c r="AU55">
        <v>85</v>
      </c>
      <c r="AV55">
        <v>83</v>
      </c>
      <c r="AW55">
        <v>77</v>
      </c>
      <c r="AX55">
        <v>77</v>
      </c>
      <c r="AY55">
        <v>83</v>
      </c>
      <c r="AZ55">
        <v>83</v>
      </c>
      <c r="BA55">
        <v>83</v>
      </c>
      <c r="BB55">
        <v>80</v>
      </c>
      <c r="BC55">
        <v>76</v>
      </c>
      <c r="BD55">
        <v>84</v>
      </c>
      <c r="BE55">
        <v>81</v>
      </c>
      <c r="BF55">
        <v>78</v>
      </c>
      <c r="BG55">
        <v>80</v>
      </c>
      <c r="BH55">
        <v>81</v>
      </c>
      <c r="BI55">
        <v>84</v>
      </c>
      <c r="BJ55">
        <v>85</v>
      </c>
      <c r="BK55">
        <v>82</v>
      </c>
      <c r="BL55">
        <v>90</v>
      </c>
      <c r="BM55">
        <v>84</v>
      </c>
      <c r="BN55">
        <v>85</v>
      </c>
      <c r="BO55">
        <v>85</v>
      </c>
      <c r="BP55">
        <v>85</v>
      </c>
      <c r="BQ55">
        <v>91</v>
      </c>
      <c r="BR55">
        <v>87</v>
      </c>
      <c r="BS55">
        <v>85</v>
      </c>
      <c r="BT55">
        <v>85</v>
      </c>
      <c r="BU55">
        <v>83</v>
      </c>
      <c r="BV55">
        <v>83</v>
      </c>
      <c r="BW55">
        <v>85</v>
      </c>
      <c r="BX55">
        <v>86</v>
      </c>
      <c r="BY55">
        <v>86</v>
      </c>
      <c r="BZ55">
        <v>87</v>
      </c>
      <c r="CA55">
        <v>80</v>
      </c>
      <c r="CB55">
        <v>81</v>
      </c>
      <c r="CC55" s="19" t="s">
        <v>1005</v>
      </c>
      <c r="CD55" s="19" t="s">
        <v>994</v>
      </c>
      <c r="CE55" s="43" t="s">
        <v>1066</v>
      </c>
      <c r="CF55" s="19" t="s">
        <v>996</v>
      </c>
      <c r="CJ55" s="19"/>
      <c r="CK55" s="13">
        <v>87</v>
      </c>
      <c r="CL55">
        <v>82</v>
      </c>
      <c r="CM55">
        <v>80</v>
      </c>
      <c r="CN55">
        <v>87</v>
      </c>
      <c r="CO55" s="13">
        <v>82</v>
      </c>
      <c r="CP55" s="13">
        <v>84.3333333333333</v>
      </c>
      <c r="CQ55" s="13">
        <f t="shared" si="0"/>
        <v>80.5</v>
      </c>
      <c r="CR55" s="13">
        <f t="shared" si="1"/>
        <v>81.166666666666671</v>
      </c>
      <c r="CS55" s="13">
        <f t="shared" si="2"/>
        <v>80.166666666666671</v>
      </c>
      <c r="CT55" s="13">
        <f t="shared" si="3"/>
        <v>84.333333333333329</v>
      </c>
      <c r="CU55" s="13">
        <f t="shared" si="4"/>
        <v>82.333333333333329</v>
      </c>
      <c r="CV55" s="13">
        <f t="shared" si="5"/>
        <v>81</v>
      </c>
      <c r="CW55" s="13">
        <f t="shared" si="6"/>
        <v>81.75</v>
      </c>
      <c r="CX55" s="13">
        <f t="shared" si="7"/>
        <v>80.5</v>
      </c>
      <c r="CY55" s="13">
        <f t="shared" si="8"/>
        <v>81.5</v>
      </c>
      <c r="CZ55" s="13">
        <f t="shared" si="9"/>
        <v>83</v>
      </c>
      <c r="DA55" s="13">
        <f t="shared" si="10"/>
        <v>77</v>
      </c>
      <c r="DB55" s="13">
        <f t="shared" si="11"/>
        <v>79.5</v>
      </c>
      <c r="DC55" s="13">
        <f t="shared" si="12"/>
        <v>80.5</v>
      </c>
      <c r="DD55" s="13">
        <f t="shared" si="13"/>
        <v>80</v>
      </c>
      <c r="DE55" s="13">
        <f t="shared" si="14"/>
        <v>85.25</v>
      </c>
      <c r="DF55" s="13">
        <f t="shared" si="15"/>
        <v>84.75</v>
      </c>
      <c r="DG55" s="13">
        <f t="shared" si="16"/>
        <v>87</v>
      </c>
      <c r="DH55" s="13">
        <f t="shared" si="17"/>
        <v>86</v>
      </c>
      <c r="DI55" s="13">
        <f t="shared" si="18"/>
        <v>83</v>
      </c>
      <c r="DJ55" s="13">
        <f t="shared" si="19"/>
        <v>83</v>
      </c>
      <c r="DK55" s="13">
        <f t="shared" si="20"/>
        <v>82.112499999999997</v>
      </c>
    </row>
    <row r="56" spans="1:115">
      <c r="A56">
        <v>55</v>
      </c>
      <c r="B56">
        <f>'DATA US'!B69</f>
        <v>222310053</v>
      </c>
      <c r="C56" t="str">
        <f>'DATA US'!F69</f>
        <v>BEKASI</v>
      </c>
      <c r="D56" s="37" t="str">
        <f>'DATA US'!G69</f>
        <v xml:space="preserve"> 20 Desember 2006</v>
      </c>
      <c r="E56" t="str">
        <f>'DATA US'!C69</f>
        <v>0061614231</v>
      </c>
      <c r="F56" t="str">
        <f>'DATA US'!D69</f>
        <v>SAEPULLOH</v>
      </c>
      <c r="G56">
        <v>80</v>
      </c>
      <c r="H56">
        <v>79</v>
      </c>
      <c r="I56">
        <v>80</v>
      </c>
      <c r="J56">
        <v>81</v>
      </c>
      <c r="K56">
        <v>83</v>
      </c>
      <c r="L56">
        <v>83</v>
      </c>
      <c r="M56">
        <v>80</v>
      </c>
      <c r="N56">
        <v>84</v>
      </c>
      <c r="O56">
        <v>80</v>
      </c>
      <c r="P56">
        <v>81</v>
      </c>
      <c r="Q56">
        <v>81</v>
      </c>
      <c r="R56">
        <v>81</v>
      </c>
      <c r="S56">
        <v>78</v>
      </c>
      <c r="T56">
        <v>81</v>
      </c>
      <c r="U56">
        <v>85</v>
      </c>
      <c r="V56">
        <v>85</v>
      </c>
      <c r="W56">
        <v>81</v>
      </c>
      <c r="X56">
        <v>88</v>
      </c>
      <c r="Y56">
        <v>75</v>
      </c>
      <c r="Z56">
        <v>79</v>
      </c>
      <c r="AA56">
        <v>78</v>
      </c>
      <c r="AB56">
        <v>79</v>
      </c>
      <c r="AC56">
        <v>80</v>
      </c>
      <c r="AD56">
        <v>84</v>
      </c>
      <c r="AE56">
        <v>79</v>
      </c>
      <c r="AF56">
        <v>77</v>
      </c>
      <c r="AG56">
        <v>80</v>
      </c>
      <c r="AH56">
        <v>85</v>
      </c>
      <c r="AI56">
        <v>84</v>
      </c>
      <c r="AJ56">
        <v>84</v>
      </c>
      <c r="AK56">
        <v>81</v>
      </c>
      <c r="AL56">
        <v>81</v>
      </c>
      <c r="AP56" t="s">
        <v>992</v>
      </c>
      <c r="AQ56">
        <v>81</v>
      </c>
      <c r="AR56">
        <v>81</v>
      </c>
      <c r="AS56">
        <v>80</v>
      </c>
      <c r="AT56">
        <v>79</v>
      </c>
      <c r="AU56">
        <v>84</v>
      </c>
      <c r="AV56">
        <v>82</v>
      </c>
      <c r="AW56">
        <v>76</v>
      </c>
      <c r="AX56">
        <v>77</v>
      </c>
      <c r="AY56">
        <v>82</v>
      </c>
      <c r="AZ56">
        <v>84</v>
      </c>
      <c r="BA56">
        <v>84</v>
      </c>
      <c r="BB56">
        <v>82</v>
      </c>
      <c r="BC56">
        <v>76</v>
      </c>
      <c r="BD56">
        <v>80</v>
      </c>
      <c r="BE56">
        <v>82</v>
      </c>
      <c r="BF56">
        <v>79</v>
      </c>
      <c r="BG56">
        <v>77</v>
      </c>
      <c r="BH56">
        <v>82</v>
      </c>
      <c r="BI56">
        <v>79</v>
      </c>
      <c r="BJ56">
        <v>80</v>
      </c>
      <c r="BK56">
        <v>83</v>
      </c>
      <c r="BL56">
        <v>90</v>
      </c>
      <c r="BM56">
        <v>79</v>
      </c>
      <c r="BN56">
        <v>81</v>
      </c>
      <c r="BO56">
        <v>82</v>
      </c>
      <c r="BP56">
        <v>82</v>
      </c>
      <c r="BQ56">
        <v>89</v>
      </c>
      <c r="BR56">
        <v>84</v>
      </c>
      <c r="BS56">
        <v>86</v>
      </c>
      <c r="BT56">
        <v>85</v>
      </c>
      <c r="BU56">
        <v>83</v>
      </c>
      <c r="BV56">
        <v>83</v>
      </c>
      <c r="BW56">
        <v>81</v>
      </c>
      <c r="BX56">
        <v>83</v>
      </c>
      <c r="BY56">
        <v>86</v>
      </c>
      <c r="BZ56">
        <v>86</v>
      </c>
      <c r="CA56">
        <v>81</v>
      </c>
      <c r="CB56">
        <v>83</v>
      </c>
      <c r="CC56" s="19" t="s">
        <v>1033</v>
      </c>
      <c r="CD56" s="19" t="s">
        <v>994</v>
      </c>
      <c r="CE56" s="43" t="s">
        <v>1067</v>
      </c>
      <c r="CF56" s="19" t="s">
        <v>996</v>
      </c>
      <c r="CJ56" s="19"/>
      <c r="CK56" s="13">
        <v>88.6666666666667</v>
      </c>
      <c r="CL56">
        <v>83</v>
      </c>
      <c r="CM56">
        <v>80</v>
      </c>
      <c r="CN56">
        <v>87</v>
      </c>
      <c r="CO56" s="13">
        <v>82</v>
      </c>
      <c r="CP56" s="13">
        <v>89.1944444444445</v>
      </c>
      <c r="CQ56" s="13">
        <f t="shared" si="0"/>
        <v>81</v>
      </c>
      <c r="CR56" s="13">
        <f t="shared" si="1"/>
        <v>81.166666666666671</v>
      </c>
      <c r="CS56" s="13">
        <f t="shared" si="2"/>
        <v>79.166666666666671</v>
      </c>
      <c r="CT56" s="13">
        <f t="shared" si="3"/>
        <v>83</v>
      </c>
      <c r="CU56" s="13">
        <f t="shared" si="4"/>
        <v>81.5</v>
      </c>
      <c r="CV56" s="13">
        <f t="shared" si="5"/>
        <v>81</v>
      </c>
      <c r="CW56" s="13">
        <f t="shared" si="6"/>
        <v>81.25</v>
      </c>
      <c r="CX56" s="13">
        <f t="shared" si="7"/>
        <v>82</v>
      </c>
      <c r="CY56" s="13">
        <f t="shared" si="8"/>
        <v>83</v>
      </c>
      <c r="CZ56" s="13">
        <f t="shared" si="9"/>
        <v>83</v>
      </c>
      <c r="DA56" s="13">
        <f t="shared" si="10"/>
        <v>76.5</v>
      </c>
      <c r="DB56" s="13">
        <f t="shared" si="11"/>
        <v>80.5</v>
      </c>
      <c r="DC56" s="13">
        <f t="shared" si="12"/>
        <v>79.5</v>
      </c>
      <c r="DD56" s="13">
        <f t="shared" si="13"/>
        <v>78</v>
      </c>
      <c r="DE56" s="13">
        <f t="shared" si="14"/>
        <v>83</v>
      </c>
      <c r="DF56" s="13">
        <f t="shared" si="15"/>
        <v>81</v>
      </c>
      <c r="DG56" s="13">
        <f t="shared" si="16"/>
        <v>86</v>
      </c>
      <c r="DH56" s="13">
        <f t="shared" si="17"/>
        <v>84</v>
      </c>
      <c r="DI56" s="13">
        <f t="shared" si="18"/>
        <v>83</v>
      </c>
      <c r="DJ56" s="13">
        <f t="shared" si="19"/>
        <v>81</v>
      </c>
      <c r="DK56" s="13">
        <f t="shared" si="20"/>
        <v>81.429166666666674</v>
      </c>
    </row>
    <row r="57" spans="1:115">
      <c r="A57">
        <v>56</v>
      </c>
      <c r="B57">
        <f>'DATA US'!B70</f>
        <v>222310054</v>
      </c>
      <c r="C57" t="str">
        <f>'DATA US'!F70</f>
        <v>BEKASI</v>
      </c>
      <c r="D57" s="37" t="str">
        <f>'DATA US'!G70</f>
        <v>25 November 2006</v>
      </c>
      <c r="E57" t="str">
        <f>'DATA US'!C70</f>
        <v>0062657633</v>
      </c>
      <c r="F57" t="str">
        <f>'DATA US'!D70</f>
        <v>SARWAN JAYA</v>
      </c>
      <c r="G57">
        <v>85</v>
      </c>
      <c r="H57">
        <v>84</v>
      </c>
      <c r="I57">
        <v>85</v>
      </c>
      <c r="J57">
        <v>84</v>
      </c>
      <c r="K57">
        <v>85</v>
      </c>
      <c r="L57">
        <v>87</v>
      </c>
      <c r="M57">
        <v>86</v>
      </c>
      <c r="N57">
        <v>86</v>
      </c>
      <c r="O57">
        <v>84</v>
      </c>
      <c r="P57">
        <v>86</v>
      </c>
      <c r="Q57">
        <v>85</v>
      </c>
      <c r="R57">
        <v>85</v>
      </c>
      <c r="S57">
        <v>80</v>
      </c>
      <c r="T57">
        <v>86</v>
      </c>
      <c r="U57">
        <v>90</v>
      </c>
      <c r="V57">
        <v>90</v>
      </c>
      <c r="W57">
        <v>88</v>
      </c>
      <c r="X57">
        <v>92</v>
      </c>
      <c r="Y57">
        <v>90</v>
      </c>
      <c r="Z57">
        <v>87</v>
      </c>
      <c r="AA57">
        <v>81</v>
      </c>
      <c r="AB57">
        <v>84</v>
      </c>
      <c r="AC57">
        <v>85</v>
      </c>
      <c r="AD57">
        <v>89</v>
      </c>
      <c r="AE57">
        <v>80</v>
      </c>
      <c r="AF57">
        <v>80</v>
      </c>
      <c r="AG57">
        <v>86</v>
      </c>
      <c r="AH57">
        <v>89</v>
      </c>
      <c r="AI57">
        <v>91</v>
      </c>
      <c r="AJ57">
        <v>91</v>
      </c>
      <c r="AK57">
        <v>87</v>
      </c>
      <c r="AL57">
        <v>85</v>
      </c>
      <c r="AP57" t="s">
        <v>992</v>
      </c>
      <c r="AQ57">
        <v>86</v>
      </c>
      <c r="AR57">
        <v>85</v>
      </c>
      <c r="AS57">
        <v>80</v>
      </c>
      <c r="AT57">
        <v>79</v>
      </c>
      <c r="AU57">
        <v>85</v>
      </c>
      <c r="AV57">
        <v>83</v>
      </c>
      <c r="AW57">
        <v>79</v>
      </c>
      <c r="AX57">
        <v>80</v>
      </c>
      <c r="AY57">
        <v>85</v>
      </c>
      <c r="AZ57">
        <v>86</v>
      </c>
      <c r="BA57">
        <v>85</v>
      </c>
      <c r="BB57">
        <v>85</v>
      </c>
      <c r="BC57">
        <v>84</v>
      </c>
      <c r="BD57">
        <v>91</v>
      </c>
      <c r="BE57">
        <v>82</v>
      </c>
      <c r="BF57">
        <v>80</v>
      </c>
      <c r="BG57">
        <v>80</v>
      </c>
      <c r="BH57">
        <v>82</v>
      </c>
      <c r="BI57">
        <v>85</v>
      </c>
      <c r="BJ57">
        <v>83</v>
      </c>
      <c r="BK57">
        <v>82</v>
      </c>
      <c r="BL57">
        <v>90</v>
      </c>
      <c r="BM57">
        <v>86</v>
      </c>
      <c r="BN57">
        <v>85</v>
      </c>
      <c r="BO57">
        <v>88</v>
      </c>
      <c r="BP57">
        <v>88</v>
      </c>
      <c r="BQ57">
        <v>91</v>
      </c>
      <c r="BR57">
        <v>88</v>
      </c>
      <c r="BS57">
        <v>87</v>
      </c>
      <c r="BT57">
        <v>87</v>
      </c>
      <c r="BU57">
        <v>87</v>
      </c>
      <c r="BV57">
        <v>87</v>
      </c>
      <c r="BW57">
        <v>84</v>
      </c>
      <c r="BX57">
        <v>85</v>
      </c>
      <c r="BY57">
        <v>89</v>
      </c>
      <c r="BZ57">
        <v>90</v>
      </c>
      <c r="CA57">
        <v>85</v>
      </c>
      <c r="CB57">
        <v>86</v>
      </c>
      <c r="CC57" s="19" t="s">
        <v>1048</v>
      </c>
      <c r="CD57" s="19" t="s">
        <v>1029</v>
      </c>
      <c r="CE57" s="43" t="s">
        <v>1068</v>
      </c>
      <c r="CF57" s="19" t="s">
        <v>996</v>
      </c>
      <c r="CJ57" s="19"/>
      <c r="CK57" s="13">
        <v>92.6666666666667</v>
      </c>
      <c r="CL57">
        <v>85.3333333333333</v>
      </c>
      <c r="CM57">
        <v>83</v>
      </c>
      <c r="CN57">
        <v>91</v>
      </c>
      <c r="CO57" s="13">
        <v>82.25</v>
      </c>
      <c r="CP57" s="13">
        <v>86.9722222222222</v>
      </c>
      <c r="CQ57" s="13">
        <f t="shared" si="0"/>
        <v>85</v>
      </c>
      <c r="CR57" s="13">
        <f t="shared" si="1"/>
        <v>85.333333333333329</v>
      </c>
      <c r="CS57" s="13">
        <f t="shared" si="2"/>
        <v>86</v>
      </c>
      <c r="CT57" s="13">
        <f t="shared" si="3"/>
        <v>87.666666666666671</v>
      </c>
      <c r="CU57" s="13">
        <f t="shared" si="4"/>
        <v>86.166666666666671</v>
      </c>
      <c r="CV57" s="13">
        <f t="shared" si="5"/>
        <v>85.5</v>
      </c>
      <c r="CW57" s="13">
        <f t="shared" si="6"/>
        <v>81.75</v>
      </c>
      <c r="CX57" s="13">
        <f t="shared" si="7"/>
        <v>85.5</v>
      </c>
      <c r="CY57" s="13">
        <f t="shared" si="8"/>
        <v>85</v>
      </c>
      <c r="CZ57" s="13">
        <f t="shared" si="9"/>
        <v>85.5</v>
      </c>
      <c r="DA57" s="13">
        <f t="shared" si="10"/>
        <v>79.5</v>
      </c>
      <c r="DB57" s="13">
        <f t="shared" si="11"/>
        <v>81</v>
      </c>
      <c r="DC57" s="13">
        <f t="shared" si="12"/>
        <v>81</v>
      </c>
      <c r="DD57" s="13">
        <f t="shared" si="13"/>
        <v>87.5</v>
      </c>
      <c r="DE57" s="13">
        <f t="shared" si="14"/>
        <v>85</v>
      </c>
      <c r="DF57" s="13">
        <f t="shared" si="15"/>
        <v>86.75</v>
      </c>
      <c r="DG57" s="13">
        <f t="shared" si="16"/>
        <v>88.25</v>
      </c>
      <c r="DH57" s="13">
        <f t="shared" si="17"/>
        <v>87</v>
      </c>
      <c r="DI57" s="13">
        <f t="shared" si="18"/>
        <v>87</v>
      </c>
      <c r="DJ57" s="13">
        <f t="shared" si="19"/>
        <v>86</v>
      </c>
      <c r="DK57" s="13">
        <f t="shared" si="20"/>
        <v>85.120833333333337</v>
      </c>
    </row>
    <row r="58" spans="1:115">
      <c r="A58">
        <v>57</v>
      </c>
      <c r="B58">
        <f>'DATA US'!B71</f>
        <v>222310055</v>
      </c>
      <c r="C58" t="str">
        <f>'DATA US'!F71</f>
        <v>BEKASI</v>
      </c>
      <c r="D58" s="37" t="str">
        <f>'DATA US'!G71</f>
        <v>11 Oktober 2006</v>
      </c>
      <c r="E58" t="str">
        <f>'DATA US'!C71</f>
        <v>0066220245</v>
      </c>
      <c r="F58" t="str">
        <f>'DATA US'!D71</f>
        <v>YUSUF FIRDAUS</v>
      </c>
      <c r="G58">
        <v>85</v>
      </c>
      <c r="H58">
        <v>81</v>
      </c>
      <c r="I58">
        <v>82</v>
      </c>
      <c r="J58">
        <v>81</v>
      </c>
      <c r="K58">
        <v>84</v>
      </c>
      <c r="L58">
        <v>85</v>
      </c>
      <c r="M58">
        <v>82</v>
      </c>
      <c r="N58">
        <v>81</v>
      </c>
      <c r="O58">
        <v>80</v>
      </c>
      <c r="P58">
        <v>81</v>
      </c>
      <c r="Q58">
        <v>81</v>
      </c>
      <c r="R58">
        <v>81</v>
      </c>
      <c r="S58">
        <v>78</v>
      </c>
      <c r="T58">
        <v>81</v>
      </c>
      <c r="U58">
        <v>86</v>
      </c>
      <c r="V58">
        <v>86</v>
      </c>
      <c r="W58">
        <v>82</v>
      </c>
      <c r="X58">
        <v>88</v>
      </c>
      <c r="Y58">
        <v>75</v>
      </c>
      <c r="Z58">
        <v>83</v>
      </c>
      <c r="AA58">
        <v>79</v>
      </c>
      <c r="AB58">
        <v>80</v>
      </c>
      <c r="AC58">
        <v>81</v>
      </c>
      <c r="AD58">
        <v>81</v>
      </c>
      <c r="AE58">
        <v>79</v>
      </c>
      <c r="AF58">
        <v>79</v>
      </c>
      <c r="AG58">
        <v>81</v>
      </c>
      <c r="AH58">
        <v>81</v>
      </c>
      <c r="AI58">
        <v>84</v>
      </c>
      <c r="AJ58">
        <v>84</v>
      </c>
      <c r="AK58">
        <v>85</v>
      </c>
      <c r="AL58">
        <v>84</v>
      </c>
      <c r="AP58" t="s">
        <v>992</v>
      </c>
      <c r="AQ58">
        <v>83</v>
      </c>
      <c r="AR58">
        <v>82</v>
      </c>
      <c r="AS58">
        <v>80</v>
      </c>
      <c r="AT58">
        <v>79</v>
      </c>
      <c r="AU58">
        <v>83</v>
      </c>
      <c r="AV58">
        <v>81</v>
      </c>
      <c r="AW58">
        <v>76</v>
      </c>
      <c r="AX58">
        <v>84</v>
      </c>
      <c r="AY58">
        <v>83</v>
      </c>
      <c r="AZ58">
        <v>84</v>
      </c>
      <c r="BA58">
        <v>84</v>
      </c>
      <c r="BB58">
        <v>82</v>
      </c>
      <c r="BC58">
        <v>76</v>
      </c>
      <c r="BD58">
        <v>84</v>
      </c>
      <c r="BE58">
        <v>80</v>
      </c>
      <c r="BF58">
        <v>81</v>
      </c>
      <c r="BG58">
        <v>80</v>
      </c>
      <c r="BH58">
        <v>80</v>
      </c>
      <c r="BI58">
        <v>80</v>
      </c>
      <c r="BJ58">
        <v>81</v>
      </c>
      <c r="BK58">
        <v>82</v>
      </c>
      <c r="BL58">
        <v>90</v>
      </c>
      <c r="BM58">
        <v>80</v>
      </c>
      <c r="BN58">
        <v>81</v>
      </c>
      <c r="BO58">
        <v>80</v>
      </c>
      <c r="BP58">
        <v>80</v>
      </c>
      <c r="BQ58">
        <v>87</v>
      </c>
      <c r="BR58">
        <v>85</v>
      </c>
      <c r="BS58">
        <v>85</v>
      </c>
      <c r="BT58">
        <v>84</v>
      </c>
      <c r="BU58">
        <v>81</v>
      </c>
      <c r="BV58">
        <v>81</v>
      </c>
      <c r="BW58">
        <v>83</v>
      </c>
      <c r="BX58">
        <v>85</v>
      </c>
      <c r="BY58">
        <v>82</v>
      </c>
      <c r="BZ58">
        <v>83</v>
      </c>
      <c r="CA58">
        <v>84</v>
      </c>
      <c r="CB58">
        <v>81</v>
      </c>
      <c r="CC58" s="19" t="s">
        <v>1016</v>
      </c>
      <c r="CD58" s="19" t="s">
        <v>1017</v>
      </c>
      <c r="CE58" s="43" t="s">
        <v>1034</v>
      </c>
      <c r="CF58" s="19" t="s">
        <v>996</v>
      </c>
      <c r="CJ58" s="19"/>
      <c r="CK58" s="13">
        <v>91</v>
      </c>
      <c r="CL58">
        <v>85.6666666666667</v>
      </c>
      <c r="CM58">
        <v>83</v>
      </c>
      <c r="CN58">
        <v>83</v>
      </c>
      <c r="CO58" s="13">
        <v>82.5</v>
      </c>
      <c r="CP58" s="13">
        <v>86.5833333333333</v>
      </c>
      <c r="CQ58" s="13">
        <f t="shared" si="0"/>
        <v>83</v>
      </c>
      <c r="CR58" s="13">
        <f t="shared" si="1"/>
        <v>81</v>
      </c>
      <c r="CS58" s="13">
        <f t="shared" si="2"/>
        <v>79.833333333333329</v>
      </c>
      <c r="CT58" s="13">
        <f t="shared" si="3"/>
        <v>83.5</v>
      </c>
      <c r="CU58" s="13">
        <f t="shared" si="4"/>
        <v>81.333333333333329</v>
      </c>
      <c r="CV58" s="13">
        <f t="shared" si="5"/>
        <v>82.5</v>
      </c>
      <c r="CW58" s="13">
        <f t="shared" si="6"/>
        <v>80.75</v>
      </c>
      <c r="CX58" s="13">
        <f t="shared" si="7"/>
        <v>82.5</v>
      </c>
      <c r="CY58" s="13">
        <f t="shared" si="8"/>
        <v>83</v>
      </c>
      <c r="CZ58" s="13">
        <f t="shared" si="9"/>
        <v>83.5</v>
      </c>
      <c r="DA58" s="13">
        <f t="shared" si="10"/>
        <v>80</v>
      </c>
      <c r="DB58" s="13">
        <f t="shared" si="11"/>
        <v>80.5</v>
      </c>
      <c r="DC58" s="13">
        <f t="shared" si="12"/>
        <v>80</v>
      </c>
      <c r="DD58" s="13">
        <f t="shared" si="13"/>
        <v>80</v>
      </c>
      <c r="DE58" s="13">
        <f t="shared" si="14"/>
        <v>83.25</v>
      </c>
      <c r="DF58" s="13">
        <f t="shared" si="15"/>
        <v>80.25</v>
      </c>
      <c r="DG58" s="13">
        <f t="shared" si="16"/>
        <v>85.25</v>
      </c>
      <c r="DH58" s="13">
        <f t="shared" si="17"/>
        <v>83.25</v>
      </c>
      <c r="DI58" s="13">
        <f t="shared" si="18"/>
        <v>81</v>
      </c>
      <c r="DJ58" s="13">
        <f t="shared" si="19"/>
        <v>84.5</v>
      </c>
      <c r="DK58" s="13">
        <f t="shared" si="20"/>
        <v>81.945833333333326</v>
      </c>
    </row>
    <row r="59" spans="1:115" s="4" customFormat="1" ht="20.55" customHeight="1">
      <c r="A59">
        <v>58</v>
      </c>
      <c r="B59" s="2">
        <f>'DATA US'!B72</f>
        <v>222310056</v>
      </c>
      <c r="C59" t="str">
        <f>'DATA US'!F72</f>
        <v>BEKASI</v>
      </c>
      <c r="D59" s="37" t="str">
        <f>'DATA US'!G72</f>
        <v>27 Juni 2006</v>
      </c>
      <c r="E59" s="2" t="str">
        <f>'DATA US'!C72</f>
        <v>0069773854</v>
      </c>
      <c r="F59" s="2" t="str">
        <f>'DATA US'!D72</f>
        <v>ADHITYA PRATAMA</v>
      </c>
      <c r="G59" s="8">
        <v>80</v>
      </c>
      <c r="H59" s="38">
        <v>78</v>
      </c>
      <c r="I59" s="8">
        <v>81</v>
      </c>
      <c r="J59" s="8">
        <v>85</v>
      </c>
      <c r="K59" s="8">
        <v>83</v>
      </c>
      <c r="L59" s="8">
        <v>84</v>
      </c>
      <c r="M59" s="8">
        <v>83</v>
      </c>
      <c r="N59" s="38">
        <v>85</v>
      </c>
      <c r="O59" s="8">
        <v>82</v>
      </c>
      <c r="P59" s="8">
        <v>85</v>
      </c>
      <c r="Q59" s="8">
        <v>85</v>
      </c>
      <c r="R59" s="8">
        <v>86</v>
      </c>
      <c r="S59" s="8">
        <v>85</v>
      </c>
      <c r="T59" s="38">
        <v>82</v>
      </c>
      <c r="U59" s="8">
        <v>83</v>
      </c>
      <c r="V59" s="8">
        <v>88</v>
      </c>
      <c r="W59" s="8">
        <v>84</v>
      </c>
      <c r="X59" s="8">
        <v>89</v>
      </c>
      <c r="Y59" s="8">
        <v>75</v>
      </c>
      <c r="Z59" s="38">
        <v>75</v>
      </c>
      <c r="AA59" s="8">
        <v>79</v>
      </c>
      <c r="AB59" s="8">
        <v>80</v>
      </c>
      <c r="AC59" s="8">
        <v>86</v>
      </c>
      <c r="AD59" s="8">
        <v>88</v>
      </c>
      <c r="AE59" s="8">
        <v>77</v>
      </c>
      <c r="AF59" s="38">
        <v>78</v>
      </c>
      <c r="AG59" s="8">
        <v>80</v>
      </c>
      <c r="AH59" s="8">
        <v>90</v>
      </c>
      <c r="AI59" s="8">
        <v>86</v>
      </c>
      <c r="AJ59" s="8">
        <v>90</v>
      </c>
      <c r="AK59" s="10">
        <v>86</v>
      </c>
      <c r="AL59" s="10">
        <v>88</v>
      </c>
      <c r="AM59" s="11"/>
      <c r="AN59" s="11"/>
      <c r="AO59" s="11"/>
      <c r="AP59" s="2" t="s">
        <v>992</v>
      </c>
      <c r="AQ59" s="10">
        <v>82</v>
      </c>
      <c r="AR59" s="38">
        <v>86</v>
      </c>
      <c r="AS59" s="8">
        <v>79</v>
      </c>
      <c r="AT59" s="38">
        <v>82</v>
      </c>
      <c r="AU59" s="8">
        <v>83</v>
      </c>
      <c r="AV59" s="8">
        <v>83</v>
      </c>
      <c r="AW59" s="10">
        <v>80</v>
      </c>
      <c r="AX59" s="38">
        <v>83</v>
      </c>
      <c r="AY59" s="10">
        <v>84</v>
      </c>
      <c r="AZ59" s="38">
        <v>84</v>
      </c>
      <c r="BA59" s="10">
        <v>87</v>
      </c>
      <c r="BB59" s="38">
        <v>86</v>
      </c>
      <c r="BC59" s="10">
        <v>84</v>
      </c>
      <c r="BD59" s="38">
        <v>84</v>
      </c>
      <c r="BE59" s="10">
        <v>84</v>
      </c>
      <c r="BF59" s="38">
        <v>80</v>
      </c>
      <c r="BG59" s="10">
        <v>80</v>
      </c>
      <c r="BH59" s="10">
        <v>82</v>
      </c>
      <c r="BI59" s="8">
        <v>84</v>
      </c>
      <c r="BJ59" s="8">
        <v>85</v>
      </c>
      <c r="BK59" s="8">
        <v>81</v>
      </c>
      <c r="BL59" s="8">
        <v>84</v>
      </c>
      <c r="BM59" s="8">
        <v>84</v>
      </c>
      <c r="BN59" s="8">
        <v>85</v>
      </c>
      <c r="BO59" s="8">
        <v>83</v>
      </c>
      <c r="BP59" s="8">
        <v>90</v>
      </c>
      <c r="BQ59" s="8">
        <v>82</v>
      </c>
      <c r="BR59" s="8">
        <v>85</v>
      </c>
      <c r="BS59" s="8">
        <v>85</v>
      </c>
      <c r="BT59" s="8">
        <v>85</v>
      </c>
      <c r="BU59" s="8">
        <v>81</v>
      </c>
      <c r="BV59" s="40">
        <v>82</v>
      </c>
      <c r="BW59" s="8">
        <v>83</v>
      </c>
      <c r="BX59" s="8">
        <v>87</v>
      </c>
      <c r="BY59" s="8">
        <v>84</v>
      </c>
      <c r="BZ59" s="8">
        <v>88</v>
      </c>
      <c r="CA59" s="10">
        <v>83</v>
      </c>
      <c r="CB59" s="38">
        <v>86</v>
      </c>
      <c r="CC59" s="19" t="s">
        <v>993</v>
      </c>
      <c r="CD59" s="19" t="s">
        <v>994</v>
      </c>
      <c r="CE59" s="43" t="s">
        <v>1069</v>
      </c>
      <c r="CF59" s="47" t="s">
        <v>1000</v>
      </c>
      <c r="CG59" s="19" t="s">
        <v>1023</v>
      </c>
      <c r="CH59" s="19" t="s">
        <v>1024</v>
      </c>
      <c r="CI59" s="19" t="s">
        <v>1070</v>
      </c>
      <c r="CJ59" s="47" t="s">
        <v>1000</v>
      </c>
      <c r="CK59" s="4">
        <v>89.6666666666667</v>
      </c>
      <c r="CL59" s="4">
        <v>84</v>
      </c>
      <c r="CM59" s="4">
        <v>90</v>
      </c>
      <c r="CN59" s="4">
        <v>88</v>
      </c>
      <c r="CO59" s="35">
        <v>82</v>
      </c>
      <c r="CP59" s="35">
        <v>87.0277777777778</v>
      </c>
      <c r="CQ59" s="13">
        <f t="shared" si="0"/>
        <v>81.833333333333329</v>
      </c>
      <c r="CR59" s="13">
        <f t="shared" si="1"/>
        <v>84.333333333333329</v>
      </c>
      <c r="CS59" s="13">
        <f t="shared" si="2"/>
        <v>80.5</v>
      </c>
      <c r="CT59" s="13">
        <f t="shared" si="3"/>
        <v>85.166666666666671</v>
      </c>
      <c r="CU59" s="13">
        <f t="shared" si="4"/>
        <v>83.5</v>
      </c>
      <c r="CV59" s="13">
        <f t="shared" si="5"/>
        <v>84</v>
      </c>
      <c r="CW59" s="13">
        <f t="shared" si="6"/>
        <v>81.75</v>
      </c>
      <c r="CX59" s="13">
        <f t="shared" si="7"/>
        <v>84.5</v>
      </c>
      <c r="CY59" s="13">
        <f t="shared" si="8"/>
        <v>86.5</v>
      </c>
      <c r="CZ59" s="13">
        <f t="shared" si="9"/>
        <v>84</v>
      </c>
      <c r="DA59" s="13">
        <f t="shared" si="10"/>
        <v>81.5</v>
      </c>
      <c r="DB59" s="13">
        <f t="shared" si="11"/>
        <v>82</v>
      </c>
      <c r="DC59" s="13">
        <f t="shared" si="12"/>
        <v>81</v>
      </c>
      <c r="DD59" s="13">
        <f t="shared" si="13"/>
        <v>84</v>
      </c>
      <c r="DE59" s="13">
        <f t="shared" si="14"/>
        <v>83.5</v>
      </c>
      <c r="DF59" s="13">
        <f t="shared" si="15"/>
        <v>85.5</v>
      </c>
      <c r="DG59" s="13">
        <f t="shared" si="16"/>
        <v>84.25</v>
      </c>
      <c r="DH59" s="13">
        <f t="shared" si="17"/>
        <v>85.5</v>
      </c>
      <c r="DI59" s="13">
        <f t="shared" si="18"/>
        <v>81.5</v>
      </c>
      <c r="DJ59" s="13">
        <f t="shared" si="19"/>
        <v>87</v>
      </c>
      <c r="DK59" s="13">
        <f t="shared" si="20"/>
        <v>83.591666666666669</v>
      </c>
    </row>
    <row r="60" spans="1:115" s="4" customFormat="1" ht="20.100000000000001" customHeight="1">
      <c r="A60">
        <v>59</v>
      </c>
      <c r="B60" s="2">
        <f>'DATA US'!B73</f>
        <v>222310057</v>
      </c>
      <c r="C60" t="str">
        <f>'DATA US'!F73</f>
        <v>BREBES</v>
      </c>
      <c r="D60" s="37" t="str">
        <f>'DATA US'!G73</f>
        <v>13 Agustus 2006</v>
      </c>
      <c r="E60" s="2" t="str">
        <f>'DATA US'!C73</f>
        <v>0066401952</v>
      </c>
      <c r="F60" s="2" t="str">
        <f>'DATA US'!D73</f>
        <v>AHMAD ROZIKIN</v>
      </c>
      <c r="G60" s="8">
        <v>78</v>
      </c>
      <c r="H60" s="38">
        <v>77</v>
      </c>
      <c r="I60" s="8">
        <v>83</v>
      </c>
      <c r="J60" s="8">
        <v>82</v>
      </c>
      <c r="K60" s="8">
        <v>84</v>
      </c>
      <c r="L60" s="8">
        <v>85</v>
      </c>
      <c r="M60" s="8">
        <v>81</v>
      </c>
      <c r="N60" s="38">
        <v>83</v>
      </c>
      <c r="O60" s="8">
        <v>81</v>
      </c>
      <c r="P60" s="8">
        <v>82</v>
      </c>
      <c r="Q60" s="8">
        <v>83</v>
      </c>
      <c r="R60" s="8">
        <v>84</v>
      </c>
      <c r="S60" s="8">
        <v>80</v>
      </c>
      <c r="T60" s="38">
        <v>80</v>
      </c>
      <c r="U60" s="8">
        <v>88</v>
      </c>
      <c r="V60" s="8">
        <v>87</v>
      </c>
      <c r="W60" s="8">
        <v>87</v>
      </c>
      <c r="X60" s="8">
        <v>90</v>
      </c>
      <c r="Y60" s="8">
        <v>75</v>
      </c>
      <c r="Z60" s="38">
        <v>75</v>
      </c>
      <c r="AA60" s="8">
        <v>78</v>
      </c>
      <c r="AB60" s="8">
        <v>79</v>
      </c>
      <c r="AC60" s="8">
        <v>84</v>
      </c>
      <c r="AD60" s="8">
        <v>85</v>
      </c>
      <c r="AE60" s="8">
        <v>77</v>
      </c>
      <c r="AF60" s="38">
        <v>77</v>
      </c>
      <c r="AG60" s="8">
        <v>82</v>
      </c>
      <c r="AH60" s="8">
        <v>83</v>
      </c>
      <c r="AI60" s="8">
        <v>85</v>
      </c>
      <c r="AJ60" s="8">
        <v>85</v>
      </c>
      <c r="AK60" s="10">
        <v>82</v>
      </c>
      <c r="AL60" s="10">
        <v>86</v>
      </c>
      <c r="AM60" s="12"/>
      <c r="AN60" s="12"/>
      <c r="AO60" s="12"/>
      <c r="AP60" s="2" t="s">
        <v>992</v>
      </c>
      <c r="AQ60" s="10">
        <v>82</v>
      </c>
      <c r="AR60" s="38">
        <v>83</v>
      </c>
      <c r="AS60" s="8">
        <v>79</v>
      </c>
      <c r="AT60" s="38">
        <v>81</v>
      </c>
      <c r="AU60" s="8">
        <v>85</v>
      </c>
      <c r="AV60" s="8">
        <v>85</v>
      </c>
      <c r="AW60" s="10">
        <v>75</v>
      </c>
      <c r="AX60" s="38">
        <v>80</v>
      </c>
      <c r="AY60" s="10">
        <v>83</v>
      </c>
      <c r="AZ60" s="38">
        <v>83</v>
      </c>
      <c r="BA60" s="10">
        <v>84</v>
      </c>
      <c r="BB60" s="38">
        <v>83</v>
      </c>
      <c r="BC60" s="10">
        <v>80</v>
      </c>
      <c r="BD60" s="38">
        <v>81</v>
      </c>
      <c r="BE60" s="10">
        <v>77</v>
      </c>
      <c r="BF60" s="38">
        <v>82</v>
      </c>
      <c r="BG60" s="10">
        <v>78</v>
      </c>
      <c r="BH60" s="10">
        <v>81</v>
      </c>
      <c r="BI60" s="8">
        <v>85</v>
      </c>
      <c r="BJ60" s="8">
        <v>86</v>
      </c>
      <c r="BK60" s="8">
        <v>81</v>
      </c>
      <c r="BL60" s="8">
        <v>82</v>
      </c>
      <c r="BM60" s="8">
        <v>85</v>
      </c>
      <c r="BN60" s="8">
        <v>85</v>
      </c>
      <c r="BO60" s="8">
        <v>86</v>
      </c>
      <c r="BP60" s="8">
        <v>87</v>
      </c>
      <c r="BQ60" s="8">
        <v>81</v>
      </c>
      <c r="BR60" s="8">
        <v>84</v>
      </c>
      <c r="BS60" s="8">
        <v>86</v>
      </c>
      <c r="BT60" s="8">
        <v>86</v>
      </c>
      <c r="BU60" s="8">
        <v>86</v>
      </c>
      <c r="BV60" s="41">
        <v>85</v>
      </c>
      <c r="BW60" s="8">
        <v>83</v>
      </c>
      <c r="BX60" s="8">
        <v>87</v>
      </c>
      <c r="BY60" s="8">
        <v>83</v>
      </c>
      <c r="BZ60" s="8">
        <v>88</v>
      </c>
      <c r="CA60" s="10">
        <v>82</v>
      </c>
      <c r="CB60" s="38">
        <v>83</v>
      </c>
      <c r="CC60" s="19" t="s">
        <v>1071</v>
      </c>
      <c r="CD60" s="19" t="s">
        <v>1072</v>
      </c>
      <c r="CE60" s="43" t="s">
        <v>1073</v>
      </c>
      <c r="CF60" s="19" t="s">
        <v>996</v>
      </c>
      <c r="CJ60" s="19"/>
      <c r="CK60" s="4">
        <v>89.3333333333333</v>
      </c>
      <c r="CL60" s="4">
        <v>82.6666666666667</v>
      </c>
      <c r="CM60" s="4">
        <v>80</v>
      </c>
      <c r="CN60" s="4">
        <v>81</v>
      </c>
      <c r="CO60" s="35">
        <v>82</v>
      </c>
      <c r="CP60" s="35">
        <v>87.7777777777778</v>
      </c>
      <c r="CQ60" s="13">
        <f t="shared" si="0"/>
        <v>81.5</v>
      </c>
      <c r="CR60" s="13">
        <f t="shared" si="1"/>
        <v>82.333333333333329</v>
      </c>
      <c r="CS60" s="13">
        <f t="shared" si="2"/>
        <v>79.333333333333329</v>
      </c>
      <c r="CT60" s="13">
        <f t="shared" si="3"/>
        <v>85.333333333333329</v>
      </c>
      <c r="CU60" s="13">
        <f t="shared" si="4"/>
        <v>81.5</v>
      </c>
      <c r="CV60" s="13">
        <f t="shared" si="5"/>
        <v>82.5</v>
      </c>
      <c r="CW60" s="13">
        <f t="shared" si="6"/>
        <v>82.5</v>
      </c>
      <c r="CX60" s="13">
        <f t="shared" si="7"/>
        <v>82.5</v>
      </c>
      <c r="CY60" s="13">
        <f t="shared" si="8"/>
        <v>83.5</v>
      </c>
      <c r="CZ60" s="13">
        <f t="shared" si="9"/>
        <v>83</v>
      </c>
      <c r="DA60" s="13">
        <f t="shared" si="10"/>
        <v>77.5</v>
      </c>
      <c r="DB60" s="13">
        <f t="shared" si="11"/>
        <v>79.5</v>
      </c>
      <c r="DC60" s="13">
        <f t="shared" si="12"/>
        <v>79.5</v>
      </c>
      <c r="DD60" s="13">
        <f t="shared" si="13"/>
        <v>80.5</v>
      </c>
      <c r="DE60" s="13">
        <f t="shared" si="14"/>
        <v>83.5</v>
      </c>
      <c r="DF60" s="13">
        <f t="shared" si="15"/>
        <v>85.75</v>
      </c>
      <c r="DG60" s="13">
        <f t="shared" si="16"/>
        <v>84.25</v>
      </c>
      <c r="DH60" s="13">
        <f t="shared" si="17"/>
        <v>85.25</v>
      </c>
      <c r="DI60" s="13">
        <f t="shared" si="18"/>
        <v>85.5</v>
      </c>
      <c r="DJ60" s="13">
        <f t="shared" si="19"/>
        <v>84</v>
      </c>
      <c r="DK60" s="13">
        <f t="shared" si="20"/>
        <v>82.462500000000006</v>
      </c>
    </row>
    <row r="61" spans="1:115" s="4" customFormat="1" ht="20.100000000000001" customHeight="1">
      <c r="A61">
        <v>60</v>
      </c>
      <c r="B61" s="2">
        <f>'DATA US'!B74</f>
        <v>222310058</v>
      </c>
      <c r="C61" t="str">
        <f>'DATA US'!F74</f>
        <v>PURBALINGGA</v>
      </c>
      <c r="D61" s="37" t="str">
        <f>'DATA US'!G74</f>
        <v>16 Maret 2007</v>
      </c>
      <c r="E61" s="2" t="str">
        <f>'DATA US'!C74</f>
        <v>0072498885</v>
      </c>
      <c r="F61" s="2" t="str">
        <f>'DATA US'!D74</f>
        <v>AKBAR</v>
      </c>
      <c r="G61" s="8">
        <v>83</v>
      </c>
      <c r="H61" s="38">
        <v>81</v>
      </c>
      <c r="I61" s="8">
        <v>80</v>
      </c>
      <c r="J61" s="8">
        <v>82</v>
      </c>
      <c r="K61" s="8">
        <v>83</v>
      </c>
      <c r="L61" s="8">
        <v>84</v>
      </c>
      <c r="M61" s="8">
        <v>81</v>
      </c>
      <c r="N61" s="38">
        <v>83</v>
      </c>
      <c r="O61" s="8">
        <v>83</v>
      </c>
      <c r="P61" s="8">
        <v>82</v>
      </c>
      <c r="Q61" s="8">
        <v>84</v>
      </c>
      <c r="R61" s="8">
        <v>84</v>
      </c>
      <c r="S61" s="8">
        <v>80</v>
      </c>
      <c r="T61" s="38">
        <v>82</v>
      </c>
      <c r="U61" s="8">
        <v>90</v>
      </c>
      <c r="V61" s="8">
        <v>88</v>
      </c>
      <c r="W61" s="8">
        <v>87</v>
      </c>
      <c r="X61" s="8">
        <v>82</v>
      </c>
      <c r="Y61" s="8">
        <v>76</v>
      </c>
      <c r="Z61" s="38">
        <v>75</v>
      </c>
      <c r="AA61" s="8">
        <v>78</v>
      </c>
      <c r="AB61" s="8">
        <v>78</v>
      </c>
      <c r="AC61" s="8">
        <v>84</v>
      </c>
      <c r="AD61" s="8">
        <v>83</v>
      </c>
      <c r="AE61" s="8">
        <v>77</v>
      </c>
      <c r="AF61" s="38">
        <v>78</v>
      </c>
      <c r="AG61" s="8">
        <v>82</v>
      </c>
      <c r="AH61" s="8">
        <v>83</v>
      </c>
      <c r="AI61" s="8">
        <v>84</v>
      </c>
      <c r="AJ61" s="8">
        <v>85</v>
      </c>
      <c r="AK61" s="10">
        <v>84</v>
      </c>
      <c r="AL61" s="10">
        <v>83</v>
      </c>
      <c r="AM61" s="12"/>
      <c r="AN61" s="12"/>
      <c r="AO61" s="12"/>
      <c r="AP61" s="2" t="s">
        <v>992</v>
      </c>
      <c r="AQ61" s="10">
        <v>83</v>
      </c>
      <c r="AR61" s="38">
        <v>85</v>
      </c>
      <c r="AS61" s="8">
        <v>80</v>
      </c>
      <c r="AT61" s="38">
        <v>82</v>
      </c>
      <c r="AU61" s="8">
        <v>87</v>
      </c>
      <c r="AV61" s="8">
        <v>86</v>
      </c>
      <c r="AW61" s="10">
        <v>77</v>
      </c>
      <c r="AX61" s="38">
        <v>82</v>
      </c>
      <c r="AY61" s="10">
        <v>83</v>
      </c>
      <c r="AZ61" s="38">
        <v>83</v>
      </c>
      <c r="BA61" s="10">
        <v>85</v>
      </c>
      <c r="BB61" s="38">
        <v>84</v>
      </c>
      <c r="BC61" s="10">
        <v>79</v>
      </c>
      <c r="BD61" s="38">
        <v>82</v>
      </c>
      <c r="BE61" s="10">
        <v>77</v>
      </c>
      <c r="BF61" s="38">
        <v>81</v>
      </c>
      <c r="BG61" s="10">
        <v>78</v>
      </c>
      <c r="BH61" s="10">
        <v>82</v>
      </c>
      <c r="BI61" s="8">
        <v>82</v>
      </c>
      <c r="BJ61" s="8">
        <v>83</v>
      </c>
      <c r="BK61" s="8">
        <v>81</v>
      </c>
      <c r="BL61" s="8">
        <v>81</v>
      </c>
      <c r="BM61" s="8">
        <v>85</v>
      </c>
      <c r="BN61" s="8">
        <v>85</v>
      </c>
      <c r="BO61" s="8">
        <v>85</v>
      </c>
      <c r="BP61" s="8">
        <v>87</v>
      </c>
      <c r="BQ61" s="8">
        <v>82</v>
      </c>
      <c r="BR61" s="8">
        <v>81</v>
      </c>
      <c r="BS61" s="8">
        <v>84</v>
      </c>
      <c r="BT61" s="8">
        <v>84</v>
      </c>
      <c r="BU61" s="8">
        <v>81</v>
      </c>
      <c r="BV61" s="41">
        <v>83</v>
      </c>
      <c r="BW61" s="8">
        <v>82</v>
      </c>
      <c r="BX61" s="8">
        <v>85</v>
      </c>
      <c r="BY61" s="8">
        <v>84</v>
      </c>
      <c r="BZ61" s="8">
        <v>86</v>
      </c>
      <c r="CA61" s="10">
        <v>80</v>
      </c>
      <c r="CB61" s="38">
        <v>85</v>
      </c>
      <c r="CC61" s="19" t="s">
        <v>993</v>
      </c>
      <c r="CD61" s="19" t="s">
        <v>994</v>
      </c>
      <c r="CE61" s="43" t="s">
        <v>1074</v>
      </c>
      <c r="CF61" s="19" t="s">
        <v>996</v>
      </c>
      <c r="CJ61" s="19"/>
      <c r="CK61" s="4">
        <v>88.3333333333333</v>
      </c>
      <c r="CL61" s="4">
        <v>83.6666666666667</v>
      </c>
      <c r="CM61" s="4">
        <v>81</v>
      </c>
      <c r="CN61" s="4">
        <v>89</v>
      </c>
      <c r="CO61" s="35">
        <v>81.5</v>
      </c>
      <c r="CP61" s="35">
        <v>86.6944444444445</v>
      </c>
      <c r="CQ61" s="13">
        <f t="shared" si="0"/>
        <v>82.166666666666671</v>
      </c>
      <c r="CR61" s="13">
        <f t="shared" si="1"/>
        <v>82.833333333333329</v>
      </c>
      <c r="CS61" s="13">
        <f t="shared" si="2"/>
        <v>79</v>
      </c>
      <c r="CT61" s="13">
        <f t="shared" si="3"/>
        <v>84.833333333333329</v>
      </c>
      <c r="CU61" s="13">
        <f t="shared" si="4"/>
        <v>81.5</v>
      </c>
      <c r="CV61" s="13">
        <f t="shared" si="5"/>
        <v>84</v>
      </c>
      <c r="CW61" s="13">
        <f t="shared" si="6"/>
        <v>83.75</v>
      </c>
      <c r="CX61" s="13">
        <f t="shared" si="7"/>
        <v>82.5</v>
      </c>
      <c r="CY61" s="13">
        <f t="shared" si="8"/>
        <v>84.5</v>
      </c>
      <c r="CZ61" s="13">
        <f t="shared" si="9"/>
        <v>83</v>
      </c>
      <c r="DA61" s="13">
        <f t="shared" si="10"/>
        <v>79.5</v>
      </c>
      <c r="DB61" s="13">
        <f t="shared" si="11"/>
        <v>79</v>
      </c>
      <c r="DC61" s="13">
        <f t="shared" si="12"/>
        <v>80</v>
      </c>
      <c r="DD61" s="13">
        <f t="shared" si="13"/>
        <v>80.5</v>
      </c>
      <c r="DE61" s="13">
        <f t="shared" si="14"/>
        <v>81.75</v>
      </c>
      <c r="DF61" s="13">
        <f t="shared" si="15"/>
        <v>85.5</v>
      </c>
      <c r="DG61" s="13">
        <f t="shared" si="16"/>
        <v>82.75</v>
      </c>
      <c r="DH61" s="13">
        <f t="shared" si="17"/>
        <v>84.25</v>
      </c>
      <c r="DI61" s="13">
        <f t="shared" si="18"/>
        <v>82</v>
      </c>
      <c r="DJ61" s="13">
        <f t="shared" si="19"/>
        <v>83.5</v>
      </c>
      <c r="DK61" s="13">
        <f t="shared" si="20"/>
        <v>82.341666666666669</v>
      </c>
    </row>
    <row r="62" spans="1:115" s="4" customFormat="1" ht="20.100000000000001" customHeight="1">
      <c r="A62">
        <v>61</v>
      </c>
      <c r="B62" s="2">
        <f>'DATA US'!B75</f>
        <v>222310148</v>
      </c>
      <c r="C62" t="str">
        <f>'DATA US'!F75</f>
        <v>BEKASI</v>
      </c>
      <c r="D62" s="37" t="str">
        <f>'DATA US'!G75</f>
        <v>02 Juni 2007</v>
      </c>
      <c r="E62" s="2" t="str">
        <f>'DATA US'!C75</f>
        <v>0076027666</v>
      </c>
      <c r="F62" s="2" t="str">
        <f>'DATA US'!D75</f>
        <v>AMMAR ABDULLAH</v>
      </c>
      <c r="G62" s="38">
        <v>84</v>
      </c>
      <c r="H62" s="39">
        <v>83</v>
      </c>
      <c r="I62" s="8">
        <v>84</v>
      </c>
      <c r="J62" s="8">
        <v>84</v>
      </c>
      <c r="K62" s="8">
        <v>85</v>
      </c>
      <c r="L62" s="8">
        <v>86</v>
      </c>
      <c r="M62" s="39">
        <v>80</v>
      </c>
      <c r="N62" s="39">
        <v>83</v>
      </c>
      <c r="O62" s="8">
        <v>83</v>
      </c>
      <c r="P62" s="8">
        <v>85</v>
      </c>
      <c r="Q62" s="8">
        <v>85</v>
      </c>
      <c r="R62" s="8">
        <v>86</v>
      </c>
      <c r="S62" s="39">
        <v>86</v>
      </c>
      <c r="T62" s="39">
        <v>80</v>
      </c>
      <c r="U62" s="8">
        <v>82</v>
      </c>
      <c r="V62" s="8">
        <v>84</v>
      </c>
      <c r="W62" s="8">
        <v>84</v>
      </c>
      <c r="X62" s="8">
        <v>90</v>
      </c>
      <c r="Y62" s="39">
        <v>75</v>
      </c>
      <c r="Z62" s="39">
        <v>75</v>
      </c>
      <c r="AA62" s="8">
        <v>78</v>
      </c>
      <c r="AB62" s="8">
        <v>79</v>
      </c>
      <c r="AC62" s="8">
        <v>84</v>
      </c>
      <c r="AD62" s="8">
        <v>86</v>
      </c>
      <c r="AE62" s="39">
        <v>86</v>
      </c>
      <c r="AF62" s="39">
        <v>80</v>
      </c>
      <c r="AG62" s="8">
        <v>84</v>
      </c>
      <c r="AH62" s="8">
        <v>88</v>
      </c>
      <c r="AI62" s="8">
        <v>90</v>
      </c>
      <c r="AJ62" s="8">
        <v>90</v>
      </c>
      <c r="AK62" s="39">
        <v>86</v>
      </c>
      <c r="AL62" s="39">
        <v>88</v>
      </c>
      <c r="AM62" s="12"/>
      <c r="AN62" s="12"/>
      <c r="AO62" s="12"/>
      <c r="AP62" s="2" t="s">
        <v>992</v>
      </c>
      <c r="AQ62" s="39">
        <v>78</v>
      </c>
      <c r="AR62" s="39">
        <v>84</v>
      </c>
      <c r="AS62" s="39">
        <v>78</v>
      </c>
      <c r="AT62" s="39">
        <v>80</v>
      </c>
      <c r="AU62" s="8">
        <v>84</v>
      </c>
      <c r="AV62" s="8">
        <v>83</v>
      </c>
      <c r="AW62" s="39">
        <v>86</v>
      </c>
      <c r="AX62" s="39">
        <v>83</v>
      </c>
      <c r="AY62" s="39">
        <v>75</v>
      </c>
      <c r="AZ62" s="39">
        <v>81</v>
      </c>
      <c r="BA62" s="39">
        <v>75</v>
      </c>
      <c r="BB62" s="39">
        <v>84</v>
      </c>
      <c r="BC62" s="39">
        <v>75</v>
      </c>
      <c r="BD62" s="39">
        <v>84</v>
      </c>
      <c r="BE62" s="39">
        <v>75</v>
      </c>
      <c r="BF62" s="39">
        <v>81</v>
      </c>
      <c r="BG62" s="39">
        <v>75</v>
      </c>
      <c r="BH62" s="39">
        <v>81</v>
      </c>
      <c r="BI62" s="8">
        <v>85</v>
      </c>
      <c r="BJ62" s="8">
        <v>87</v>
      </c>
      <c r="BK62" s="8">
        <v>81</v>
      </c>
      <c r="BL62" s="8">
        <v>84</v>
      </c>
      <c r="BM62" s="8">
        <v>84</v>
      </c>
      <c r="BN62" s="8">
        <v>85</v>
      </c>
      <c r="BO62" s="8">
        <v>81</v>
      </c>
      <c r="BP62" s="8">
        <v>89</v>
      </c>
      <c r="BQ62" s="8">
        <v>86</v>
      </c>
      <c r="BR62" s="8">
        <v>85</v>
      </c>
      <c r="BS62" s="8">
        <v>86</v>
      </c>
      <c r="BT62" s="8">
        <v>86</v>
      </c>
      <c r="BU62" s="8">
        <v>84</v>
      </c>
      <c r="BV62" s="41">
        <v>85</v>
      </c>
      <c r="BW62" s="8">
        <v>83</v>
      </c>
      <c r="BX62" s="8">
        <v>87</v>
      </c>
      <c r="BY62" s="8">
        <v>84</v>
      </c>
      <c r="BZ62" s="8">
        <v>88</v>
      </c>
      <c r="CA62" s="39">
        <v>75</v>
      </c>
      <c r="CB62" s="39">
        <v>84</v>
      </c>
      <c r="CC62" s="19" t="s">
        <v>1005</v>
      </c>
      <c r="CD62" s="19" t="s">
        <v>1075</v>
      </c>
      <c r="CE62" s="43" t="s">
        <v>1076</v>
      </c>
      <c r="CF62" s="19" t="s">
        <v>996</v>
      </c>
      <c r="CJ62" s="19"/>
      <c r="CK62" s="4">
        <v>91.6666666666667</v>
      </c>
      <c r="CL62" s="4">
        <v>85</v>
      </c>
      <c r="CM62" s="4">
        <v>84</v>
      </c>
      <c r="CN62" s="4">
        <v>90</v>
      </c>
      <c r="CO62" s="35">
        <v>82</v>
      </c>
      <c r="CP62" s="35">
        <v>87.5833333333333</v>
      </c>
      <c r="CQ62" s="13">
        <f t="shared" si="0"/>
        <v>84.333333333333329</v>
      </c>
      <c r="CR62" s="13">
        <f t="shared" si="1"/>
        <v>83.666666666666671</v>
      </c>
      <c r="CS62" s="13">
        <f t="shared" si="2"/>
        <v>79.5</v>
      </c>
      <c r="CT62" s="13">
        <f t="shared" si="3"/>
        <v>84.333333333333329</v>
      </c>
      <c r="CU62" s="13">
        <f t="shared" si="4"/>
        <v>86.333333333333329</v>
      </c>
      <c r="CV62" s="13">
        <f t="shared" si="5"/>
        <v>81</v>
      </c>
      <c r="CW62" s="13">
        <f t="shared" si="6"/>
        <v>81.25</v>
      </c>
      <c r="CX62" s="13">
        <f t="shared" si="7"/>
        <v>79.5</v>
      </c>
      <c r="CY62" s="13">
        <f t="shared" si="8"/>
        <v>79.5</v>
      </c>
      <c r="CZ62" s="13">
        <f t="shared" si="9"/>
        <v>78</v>
      </c>
      <c r="DA62" s="13">
        <f t="shared" si="10"/>
        <v>84.5</v>
      </c>
      <c r="DB62" s="13">
        <f t="shared" si="11"/>
        <v>78</v>
      </c>
      <c r="DC62" s="13">
        <f t="shared" si="12"/>
        <v>78</v>
      </c>
      <c r="DD62" s="13">
        <f t="shared" si="13"/>
        <v>79.5</v>
      </c>
      <c r="DE62" s="13">
        <f t="shared" si="14"/>
        <v>84.25</v>
      </c>
      <c r="DF62" s="13">
        <f t="shared" si="15"/>
        <v>84.75</v>
      </c>
      <c r="DG62" s="13">
        <f t="shared" si="16"/>
        <v>85.75</v>
      </c>
      <c r="DH62" s="13">
        <f t="shared" si="17"/>
        <v>85.5</v>
      </c>
      <c r="DI62" s="13">
        <f t="shared" si="18"/>
        <v>84.5</v>
      </c>
      <c r="DJ62" s="13">
        <f t="shared" si="19"/>
        <v>87</v>
      </c>
      <c r="DK62" s="13">
        <f t="shared" si="20"/>
        <v>82.458333333333329</v>
      </c>
    </row>
    <row r="63" spans="1:115" s="4" customFormat="1" ht="20.100000000000001" customHeight="1">
      <c r="A63">
        <v>62</v>
      </c>
      <c r="B63" s="2">
        <f>'DATA US'!B76</f>
        <v>222310059</v>
      </c>
      <c r="C63" t="str">
        <f>'DATA US'!F76</f>
        <v>BEKASI</v>
      </c>
      <c r="D63" s="37" t="str">
        <f>'DATA US'!G76</f>
        <v>28 Februari 2007</v>
      </c>
      <c r="E63" s="2" t="str">
        <f>'DATA US'!C76</f>
        <v>0073486388</v>
      </c>
      <c r="F63" s="2" t="str">
        <f>'DATA US'!D76</f>
        <v>ANANDA S DEWA</v>
      </c>
      <c r="G63" s="38">
        <v>79</v>
      </c>
      <c r="H63" s="38">
        <v>79</v>
      </c>
      <c r="I63" s="8">
        <v>84</v>
      </c>
      <c r="J63" s="8">
        <v>83</v>
      </c>
      <c r="K63" s="8">
        <v>83</v>
      </c>
      <c r="L63" s="8">
        <v>84</v>
      </c>
      <c r="M63" s="39">
        <v>80</v>
      </c>
      <c r="N63" s="38">
        <v>82</v>
      </c>
      <c r="O63" s="8">
        <v>82</v>
      </c>
      <c r="P63" s="8">
        <v>82</v>
      </c>
      <c r="Q63" s="8">
        <v>83</v>
      </c>
      <c r="R63" s="8">
        <v>83</v>
      </c>
      <c r="S63" s="39">
        <v>79</v>
      </c>
      <c r="T63" s="38">
        <v>82</v>
      </c>
      <c r="U63" s="8">
        <v>84</v>
      </c>
      <c r="V63" s="8">
        <v>84</v>
      </c>
      <c r="W63" s="8">
        <v>83</v>
      </c>
      <c r="X63" s="8">
        <v>86</v>
      </c>
      <c r="Y63" s="39">
        <v>75</v>
      </c>
      <c r="Z63" s="39">
        <v>75</v>
      </c>
      <c r="AA63" s="8">
        <v>78</v>
      </c>
      <c r="AB63" s="8">
        <v>79</v>
      </c>
      <c r="AC63" s="8">
        <v>83</v>
      </c>
      <c r="AD63" s="8">
        <v>82</v>
      </c>
      <c r="AE63" s="39">
        <v>78</v>
      </c>
      <c r="AF63" s="39">
        <v>77</v>
      </c>
      <c r="AG63" s="8">
        <v>83</v>
      </c>
      <c r="AH63" s="8">
        <v>87</v>
      </c>
      <c r="AI63" s="8">
        <v>87</v>
      </c>
      <c r="AJ63" s="8">
        <v>82</v>
      </c>
      <c r="AK63" s="39">
        <v>79</v>
      </c>
      <c r="AL63" s="39">
        <v>77</v>
      </c>
      <c r="AM63" s="12"/>
      <c r="AN63" s="12"/>
      <c r="AO63" s="12"/>
      <c r="AP63" s="2" t="s">
        <v>992</v>
      </c>
      <c r="AQ63" s="39">
        <v>82</v>
      </c>
      <c r="AR63" s="39">
        <v>82</v>
      </c>
      <c r="AS63" s="39">
        <v>79</v>
      </c>
      <c r="AT63" s="39">
        <v>81</v>
      </c>
      <c r="AU63" s="8">
        <v>84</v>
      </c>
      <c r="AV63" s="8">
        <v>84</v>
      </c>
      <c r="AW63" s="39">
        <v>76</v>
      </c>
      <c r="AX63" s="39">
        <v>80</v>
      </c>
      <c r="AY63" s="39">
        <v>83</v>
      </c>
      <c r="AZ63" s="39">
        <v>83</v>
      </c>
      <c r="BA63" s="39">
        <v>85</v>
      </c>
      <c r="BB63" s="39">
        <v>83</v>
      </c>
      <c r="BC63" s="39">
        <v>79</v>
      </c>
      <c r="BD63" s="39">
        <v>82</v>
      </c>
      <c r="BE63" s="39">
        <v>79</v>
      </c>
      <c r="BF63" s="39">
        <v>85</v>
      </c>
      <c r="BG63" s="39">
        <v>79</v>
      </c>
      <c r="BH63" s="39">
        <v>82</v>
      </c>
      <c r="BI63" s="8">
        <v>83</v>
      </c>
      <c r="BJ63" s="8">
        <v>85</v>
      </c>
      <c r="BK63" s="8">
        <v>81</v>
      </c>
      <c r="BL63" s="8">
        <v>82</v>
      </c>
      <c r="BM63" s="8">
        <v>80</v>
      </c>
      <c r="BN63" s="8">
        <v>85</v>
      </c>
      <c r="BO63" s="8">
        <v>81</v>
      </c>
      <c r="BP63" s="8">
        <v>85</v>
      </c>
      <c r="BQ63" s="8">
        <v>82</v>
      </c>
      <c r="BR63" s="8">
        <v>86</v>
      </c>
      <c r="BS63" s="8">
        <v>85</v>
      </c>
      <c r="BT63" s="8">
        <v>85</v>
      </c>
      <c r="BU63" s="8">
        <v>88</v>
      </c>
      <c r="BV63" s="41">
        <v>87</v>
      </c>
      <c r="BW63" s="8">
        <v>85</v>
      </c>
      <c r="BX63" s="8">
        <v>87</v>
      </c>
      <c r="BY63" s="8">
        <v>83</v>
      </c>
      <c r="BZ63" s="8">
        <v>88</v>
      </c>
      <c r="CA63" s="39">
        <v>80</v>
      </c>
      <c r="CB63" s="39">
        <v>82</v>
      </c>
      <c r="CC63" s="19" t="s">
        <v>1005</v>
      </c>
      <c r="CD63" s="19" t="s">
        <v>1077</v>
      </c>
      <c r="CE63" s="43" t="s">
        <v>1078</v>
      </c>
      <c r="CF63" s="19" t="s">
        <v>996</v>
      </c>
      <c r="CJ63" s="19"/>
      <c r="CK63" s="4">
        <v>89</v>
      </c>
      <c r="CL63" s="4">
        <v>82.6666666666667</v>
      </c>
      <c r="CM63" s="4">
        <v>80</v>
      </c>
      <c r="CN63" s="4">
        <v>87</v>
      </c>
      <c r="CO63" s="35">
        <v>82</v>
      </c>
      <c r="CP63" s="35">
        <v>86.4166666666667</v>
      </c>
      <c r="CQ63" s="13">
        <f t="shared" si="0"/>
        <v>82</v>
      </c>
      <c r="CR63" s="13">
        <f t="shared" si="1"/>
        <v>82</v>
      </c>
      <c r="CS63" s="13">
        <f t="shared" si="2"/>
        <v>78.666666666666671</v>
      </c>
      <c r="CT63" s="13">
        <f t="shared" si="3"/>
        <v>83</v>
      </c>
      <c r="CU63" s="13">
        <f t="shared" si="4"/>
        <v>82.333333333333329</v>
      </c>
      <c r="CV63" s="13">
        <f t="shared" si="5"/>
        <v>82</v>
      </c>
      <c r="CW63" s="13">
        <f t="shared" si="6"/>
        <v>82</v>
      </c>
      <c r="CX63" s="13">
        <f t="shared" si="7"/>
        <v>81</v>
      </c>
      <c r="CY63" s="13">
        <f t="shared" si="8"/>
        <v>84</v>
      </c>
      <c r="CZ63" s="13">
        <f t="shared" si="9"/>
        <v>83</v>
      </c>
      <c r="DA63" s="13">
        <f t="shared" si="10"/>
        <v>78</v>
      </c>
      <c r="DB63" s="13">
        <f t="shared" si="11"/>
        <v>82</v>
      </c>
      <c r="DC63" s="13">
        <f t="shared" si="12"/>
        <v>80.5</v>
      </c>
      <c r="DD63" s="13">
        <f t="shared" si="13"/>
        <v>80.5</v>
      </c>
      <c r="DE63" s="13">
        <f t="shared" si="14"/>
        <v>82.75</v>
      </c>
      <c r="DF63" s="13">
        <f t="shared" si="15"/>
        <v>82.75</v>
      </c>
      <c r="DG63" s="13">
        <f t="shared" si="16"/>
        <v>84.5</v>
      </c>
      <c r="DH63" s="13">
        <f t="shared" si="17"/>
        <v>85.75</v>
      </c>
      <c r="DI63" s="13">
        <f t="shared" si="18"/>
        <v>87.5</v>
      </c>
      <c r="DJ63" s="13">
        <f t="shared" si="19"/>
        <v>78</v>
      </c>
      <c r="DK63" s="13">
        <f t="shared" si="20"/>
        <v>82.112499999999997</v>
      </c>
    </row>
    <row r="64" spans="1:115" s="4" customFormat="1" ht="20.100000000000001" customHeight="1">
      <c r="A64">
        <v>63</v>
      </c>
      <c r="B64" s="2">
        <f>'DATA US'!B77</f>
        <v>222310060</v>
      </c>
      <c r="C64" t="str">
        <f>'DATA US'!F77</f>
        <v>SRAGEN</v>
      </c>
      <c r="D64" s="37" t="str">
        <f>'DATA US'!G77</f>
        <v>03 April 2007</v>
      </c>
      <c r="E64" s="2" t="str">
        <f>'DATA US'!C77</f>
        <v>0079924122</v>
      </c>
      <c r="F64" s="2" t="str">
        <f>'DATA US'!D77</f>
        <v>ARDIAN PUTRA PRATAMA</v>
      </c>
      <c r="G64" s="38">
        <v>80</v>
      </c>
      <c r="H64" s="38">
        <v>76</v>
      </c>
      <c r="I64" s="8">
        <v>81</v>
      </c>
      <c r="J64" s="8">
        <v>80</v>
      </c>
      <c r="K64" s="8">
        <v>83</v>
      </c>
      <c r="L64" s="8">
        <v>84</v>
      </c>
      <c r="M64" s="39">
        <v>82</v>
      </c>
      <c r="N64" s="38">
        <v>81</v>
      </c>
      <c r="O64" s="8">
        <v>82</v>
      </c>
      <c r="P64" s="8">
        <v>82</v>
      </c>
      <c r="Q64" s="8">
        <v>83</v>
      </c>
      <c r="R64" s="8">
        <v>84</v>
      </c>
      <c r="S64" s="39">
        <v>80</v>
      </c>
      <c r="T64" s="38">
        <v>81</v>
      </c>
      <c r="U64" s="8">
        <v>89</v>
      </c>
      <c r="V64" s="8">
        <v>90</v>
      </c>
      <c r="W64" s="8">
        <v>88</v>
      </c>
      <c r="X64" s="8">
        <v>89</v>
      </c>
      <c r="Y64" s="39">
        <v>75</v>
      </c>
      <c r="Z64" s="39">
        <v>77</v>
      </c>
      <c r="AA64" s="8">
        <v>79</v>
      </c>
      <c r="AB64" s="8">
        <v>78</v>
      </c>
      <c r="AC64" s="8">
        <v>82</v>
      </c>
      <c r="AD64" s="8">
        <v>88</v>
      </c>
      <c r="AE64" s="39">
        <v>80</v>
      </c>
      <c r="AF64" s="39">
        <v>79</v>
      </c>
      <c r="AG64" s="8">
        <v>80</v>
      </c>
      <c r="AH64" s="8">
        <v>83</v>
      </c>
      <c r="AI64" s="8">
        <v>85</v>
      </c>
      <c r="AJ64" s="8">
        <v>88</v>
      </c>
      <c r="AK64" s="39">
        <v>85</v>
      </c>
      <c r="AL64" s="39">
        <v>83</v>
      </c>
      <c r="AM64" s="12"/>
      <c r="AN64" s="12"/>
      <c r="AO64" s="12"/>
      <c r="AP64" s="2" t="s">
        <v>992</v>
      </c>
      <c r="AQ64" s="39">
        <v>82</v>
      </c>
      <c r="AR64" s="39">
        <v>81</v>
      </c>
      <c r="AS64" s="39">
        <v>79</v>
      </c>
      <c r="AT64" s="39">
        <v>81</v>
      </c>
      <c r="AU64" s="8">
        <v>87</v>
      </c>
      <c r="AV64" s="8">
        <v>86</v>
      </c>
      <c r="AW64" s="39">
        <v>77</v>
      </c>
      <c r="AX64" s="39">
        <v>80</v>
      </c>
      <c r="AY64" s="39">
        <v>84</v>
      </c>
      <c r="AZ64" s="39">
        <v>84</v>
      </c>
      <c r="BA64" s="39">
        <v>85</v>
      </c>
      <c r="BB64" s="39">
        <v>81</v>
      </c>
      <c r="BC64" s="39">
        <v>84</v>
      </c>
      <c r="BD64" s="39">
        <v>81</v>
      </c>
      <c r="BE64" s="39">
        <v>77</v>
      </c>
      <c r="BF64" s="39">
        <v>85</v>
      </c>
      <c r="BG64" s="39">
        <v>75</v>
      </c>
      <c r="BH64" s="39">
        <v>82</v>
      </c>
      <c r="BI64" s="8">
        <v>85</v>
      </c>
      <c r="BJ64" s="8">
        <v>85</v>
      </c>
      <c r="BK64" s="8">
        <v>81</v>
      </c>
      <c r="BL64" s="8">
        <v>85</v>
      </c>
      <c r="BM64" s="8">
        <v>83</v>
      </c>
      <c r="BN64" s="8">
        <v>85</v>
      </c>
      <c r="BO64" s="8">
        <v>86</v>
      </c>
      <c r="BP64" s="8">
        <v>86</v>
      </c>
      <c r="BQ64" s="8">
        <v>85</v>
      </c>
      <c r="BR64" s="8">
        <v>85</v>
      </c>
      <c r="BS64" s="8">
        <v>85</v>
      </c>
      <c r="BT64" s="8">
        <v>85</v>
      </c>
      <c r="BU64" s="8">
        <v>88</v>
      </c>
      <c r="BV64" s="41">
        <v>88</v>
      </c>
      <c r="BW64" s="8">
        <v>83</v>
      </c>
      <c r="BX64" s="8">
        <v>85</v>
      </c>
      <c r="BY64" s="8">
        <v>85</v>
      </c>
      <c r="BZ64" s="8">
        <v>86</v>
      </c>
      <c r="CA64" s="39">
        <v>82</v>
      </c>
      <c r="CB64" s="39">
        <v>81</v>
      </c>
      <c r="CC64" s="19" t="s">
        <v>1016</v>
      </c>
      <c r="CD64" s="19" t="s">
        <v>1079</v>
      </c>
      <c r="CE64" s="43" t="s">
        <v>1080</v>
      </c>
      <c r="CF64" s="19" t="s">
        <v>996</v>
      </c>
      <c r="CJ64" s="19"/>
      <c r="CK64" s="4">
        <v>90</v>
      </c>
      <c r="CL64" s="4">
        <v>83</v>
      </c>
      <c r="CM64" s="4">
        <v>80</v>
      </c>
      <c r="CN64" s="4">
        <v>83</v>
      </c>
      <c r="CO64" s="35">
        <v>82</v>
      </c>
      <c r="CP64" s="35">
        <v>86.1111111111111</v>
      </c>
      <c r="CQ64" s="13">
        <f t="shared" si="0"/>
        <v>80.666666666666671</v>
      </c>
      <c r="CR64" s="13">
        <f t="shared" si="1"/>
        <v>82.333333333333329</v>
      </c>
      <c r="CS64" s="13">
        <f t="shared" si="2"/>
        <v>79.833333333333329</v>
      </c>
      <c r="CT64" s="13">
        <f t="shared" si="3"/>
        <v>86.166666666666671</v>
      </c>
      <c r="CU64" s="13">
        <f t="shared" si="4"/>
        <v>82.5</v>
      </c>
      <c r="CV64" s="13">
        <f t="shared" si="5"/>
        <v>81.5</v>
      </c>
      <c r="CW64" s="13">
        <f t="shared" si="6"/>
        <v>83.25</v>
      </c>
      <c r="CX64" s="13">
        <f t="shared" si="7"/>
        <v>81.5</v>
      </c>
      <c r="CY64" s="13">
        <f t="shared" si="8"/>
        <v>83</v>
      </c>
      <c r="CZ64" s="13">
        <f t="shared" si="9"/>
        <v>84</v>
      </c>
      <c r="DA64" s="13">
        <f t="shared" si="10"/>
        <v>78.5</v>
      </c>
      <c r="DB64" s="13">
        <f t="shared" si="11"/>
        <v>81</v>
      </c>
      <c r="DC64" s="13">
        <f t="shared" si="12"/>
        <v>78.5</v>
      </c>
      <c r="DD64" s="13">
        <f t="shared" si="13"/>
        <v>82.5</v>
      </c>
      <c r="DE64" s="13">
        <f t="shared" si="14"/>
        <v>84</v>
      </c>
      <c r="DF64" s="13">
        <f t="shared" si="15"/>
        <v>85</v>
      </c>
      <c r="DG64" s="13">
        <f t="shared" si="16"/>
        <v>85</v>
      </c>
      <c r="DH64" s="13">
        <f t="shared" si="17"/>
        <v>84.75</v>
      </c>
      <c r="DI64" s="13">
        <f t="shared" si="18"/>
        <v>88</v>
      </c>
      <c r="DJ64" s="13">
        <f t="shared" si="19"/>
        <v>84</v>
      </c>
      <c r="DK64" s="13">
        <f t="shared" si="20"/>
        <v>82.8</v>
      </c>
    </row>
    <row r="65" spans="1:115" s="4" customFormat="1" ht="20.100000000000001" customHeight="1">
      <c r="A65">
        <v>64</v>
      </c>
      <c r="B65" s="2">
        <f>'DATA US'!B78</f>
        <v>222310062</v>
      </c>
      <c r="C65" t="str">
        <f>'DATA US'!F78</f>
        <v>BEKASI</v>
      </c>
      <c r="D65" s="37" t="str">
        <f>'DATA US'!G78</f>
        <v>22 Januari 2007</v>
      </c>
      <c r="E65" s="2" t="str">
        <f>'DATA US'!C78</f>
        <v>0075084595</v>
      </c>
      <c r="F65" s="2" t="str">
        <f>'DATA US'!D78</f>
        <v>ARI SETIAWAN</v>
      </c>
      <c r="G65" s="8">
        <v>86</v>
      </c>
      <c r="H65" s="38">
        <v>84</v>
      </c>
      <c r="I65" s="8">
        <v>84</v>
      </c>
      <c r="J65" s="8">
        <v>85</v>
      </c>
      <c r="K65" s="8">
        <v>84</v>
      </c>
      <c r="L65" s="8">
        <v>85</v>
      </c>
      <c r="M65" s="8">
        <v>86</v>
      </c>
      <c r="N65" s="38">
        <v>88</v>
      </c>
      <c r="O65" s="8">
        <v>85</v>
      </c>
      <c r="P65" s="8">
        <v>85</v>
      </c>
      <c r="Q65" s="8">
        <v>86</v>
      </c>
      <c r="R65" s="8">
        <v>87</v>
      </c>
      <c r="S65" s="8">
        <v>80</v>
      </c>
      <c r="T65" s="38">
        <v>87</v>
      </c>
      <c r="U65" s="8">
        <v>90</v>
      </c>
      <c r="V65" s="8">
        <v>90</v>
      </c>
      <c r="W65" s="8">
        <v>88</v>
      </c>
      <c r="X65" s="8">
        <v>90</v>
      </c>
      <c r="Y65" s="8">
        <v>78</v>
      </c>
      <c r="Z65" s="38">
        <v>84</v>
      </c>
      <c r="AA65" s="8">
        <v>79</v>
      </c>
      <c r="AB65" s="8">
        <v>80</v>
      </c>
      <c r="AC65" s="8">
        <v>88</v>
      </c>
      <c r="AD65" s="8">
        <v>87</v>
      </c>
      <c r="AE65" s="8">
        <v>82</v>
      </c>
      <c r="AF65" s="38">
        <v>83</v>
      </c>
      <c r="AG65" s="8">
        <v>87</v>
      </c>
      <c r="AH65" s="8">
        <v>88</v>
      </c>
      <c r="AI65" s="8">
        <v>90</v>
      </c>
      <c r="AJ65" s="8">
        <v>90</v>
      </c>
      <c r="AK65" s="10">
        <v>86</v>
      </c>
      <c r="AL65" s="10">
        <v>88</v>
      </c>
      <c r="AM65" s="12"/>
      <c r="AN65" s="12"/>
      <c r="AO65" s="12"/>
      <c r="AP65" s="2" t="s">
        <v>992</v>
      </c>
      <c r="AQ65" s="10">
        <v>82</v>
      </c>
      <c r="AR65" s="38">
        <v>88</v>
      </c>
      <c r="AS65" s="8">
        <v>80</v>
      </c>
      <c r="AT65" s="38">
        <v>82</v>
      </c>
      <c r="AU65" s="8">
        <v>86</v>
      </c>
      <c r="AV65" s="8">
        <v>86</v>
      </c>
      <c r="AW65" s="10">
        <v>81</v>
      </c>
      <c r="AX65" s="38">
        <v>83</v>
      </c>
      <c r="AY65" s="10">
        <v>86</v>
      </c>
      <c r="AZ65" s="38">
        <v>84</v>
      </c>
      <c r="BA65" s="10">
        <v>86</v>
      </c>
      <c r="BB65" s="38">
        <v>85</v>
      </c>
      <c r="BC65" s="10">
        <v>85</v>
      </c>
      <c r="BD65" s="38">
        <v>86</v>
      </c>
      <c r="BE65" s="10">
        <v>80</v>
      </c>
      <c r="BF65" s="38">
        <v>85</v>
      </c>
      <c r="BG65" s="10">
        <v>81</v>
      </c>
      <c r="BH65" s="10">
        <v>83</v>
      </c>
      <c r="BI65" s="8">
        <v>85</v>
      </c>
      <c r="BJ65" s="8">
        <v>86</v>
      </c>
      <c r="BK65" s="8">
        <v>81</v>
      </c>
      <c r="BL65" s="8">
        <v>89</v>
      </c>
      <c r="BM65" s="8">
        <v>85</v>
      </c>
      <c r="BN65" s="8">
        <v>86</v>
      </c>
      <c r="BO65" s="8">
        <v>87</v>
      </c>
      <c r="BP65" s="8">
        <v>90</v>
      </c>
      <c r="BQ65" s="8">
        <v>86</v>
      </c>
      <c r="BR65" s="8">
        <v>86</v>
      </c>
      <c r="BS65" s="8">
        <v>86</v>
      </c>
      <c r="BT65" s="8">
        <v>86</v>
      </c>
      <c r="BU65" s="8">
        <v>86</v>
      </c>
      <c r="BV65" s="41">
        <v>88</v>
      </c>
      <c r="BW65" s="8">
        <v>84</v>
      </c>
      <c r="BX65" s="8">
        <v>85</v>
      </c>
      <c r="BY65" s="8">
        <v>82</v>
      </c>
      <c r="BZ65" s="8">
        <v>86</v>
      </c>
      <c r="CA65" s="10">
        <v>85</v>
      </c>
      <c r="CB65" s="38">
        <v>88</v>
      </c>
      <c r="CC65" s="19" t="s">
        <v>1081</v>
      </c>
      <c r="CD65" s="19" t="s">
        <v>1082</v>
      </c>
      <c r="CE65" s="43" t="s">
        <v>1083</v>
      </c>
      <c r="CF65" s="19" t="s">
        <v>996</v>
      </c>
      <c r="CJ65" s="19"/>
      <c r="CK65" s="4">
        <v>92.3333333333333</v>
      </c>
      <c r="CL65" s="4">
        <v>85</v>
      </c>
      <c r="CM65" s="4">
        <v>89</v>
      </c>
      <c r="CN65" s="4">
        <v>92</v>
      </c>
      <c r="CO65" s="35">
        <v>82</v>
      </c>
      <c r="CP65" s="35">
        <v>88.7777777777778</v>
      </c>
      <c r="CQ65" s="13">
        <f t="shared" si="0"/>
        <v>84.666666666666671</v>
      </c>
      <c r="CR65" s="13">
        <f t="shared" si="1"/>
        <v>86.166666666666671</v>
      </c>
      <c r="CS65" s="13">
        <f t="shared" si="2"/>
        <v>82.666666666666671</v>
      </c>
      <c r="CT65" s="13">
        <f t="shared" si="3"/>
        <v>87.5</v>
      </c>
      <c r="CU65" s="13">
        <f t="shared" si="4"/>
        <v>86.666666666666671</v>
      </c>
      <c r="CV65" s="13">
        <f t="shared" si="5"/>
        <v>85</v>
      </c>
      <c r="CW65" s="13">
        <f t="shared" si="6"/>
        <v>83.5</v>
      </c>
      <c r="CX65" s="13">
        <f t="shared" si="7"/>
        <v>86.5</v>
      </c>
      <c r="CY65" s="13">
        <f t="shared" si="8"/>
        <v>85.5</v>
      </c>
      <c r="CZ65" s="13">
        <f t="shared" si="9"/>
        <v>85</v>
      </c>
      <c r="DA65" s="13">
        <f t="shared" si="10"/>
        <v>82</v>
      </c>
      <c r="DB65" s="13">
        <f t="shared" si="11"/>
        <v>82.5</v>
      </c>
      <c r="DC65" s="13">
        <f t="shared" si="12"/>
        <v>82</v>
      </c>
      <c r="DD65" s="13">
        <f t="shared" si="13"/>
        <v>85.5</v>
      </c>
      <c r="DE65" s="13">
        <f t="shared" si="14"/>
        <v>85.25</v>
      </c>
      <c r="DF65" s="13">
        <f t="shared" si="15"/>
        <v>87</v>
      </c>
      <c r="DG65" s="13">
        <f t="shared" si="16"/>
        <v>86</v>
      </c>
      <c r="DH65" s="13">
        <f t="shared" si="17"/>
        <v>84.25</v>
      </c>
      <c r="DI65" s="13">
        <f t="shared" si="18"/>
        <v>87</v>
      </c>
      <c r="DJ65" s="13">
        <f t="shared" si="19"/>
        <v>87</v>
      </c>
      <c r="DK65" s="13">
        <f>AVERAGE(CQ65:DJ65)</f>
        <v>85.083333333333343</v>
      </c>
    </row>
    <row r="66" spans="1:115" s="4" customFormat="1" ht="20.100000000000001" customHeight="1">
      <c r="A66">
        <v>65</v>
      </c>
      <c r="B66" s="2">
        <f>'DATA US'!B79</f>
        <v>222310063</v>
      </c>
      <c r="C66" t="str">
        <f>'DATA US'!F79</f>
        <v>BEKASI</v>
      </c>
      <c r="D66" s="37" t="str">
        <f>'DATA US'!G79</f>
        <v>27 November 2006</v>
      </c>
      <c r="E66" s="2" t="str">
        <f>'DATA US'!C79</f>
        <v>0062946213</v>
      </c>
      <c r="F66" s="2" t="str">
        <f>'DATA US'!D79</f>
        <v>BAGAS PRATAMA PUTRA</v>
      </c>
      <c r="G66" s="8">
        <v>84</v>
      </c>
      <c r="H66" s="38">
        <v>84</v>
      </c>
      <c r="I66" s="8">
        <v>86</v>
      </c>
      <c r="J66" s="8">
        <v>86</v>
      </c>
      <c r="K66" s="8">
        <v>84</v>
      </c>
      <c r="L66" s="8">
        <v>86</v>
      </c>
      <c r="M66" s="8">
        <v>83</v>
      </c>
      <c r="N66" s="38">
        <v>86</v>
      </c>
      <c r="O66" s="8">
        <v>83</v>
      </c>
      <c r="P66" s="8">
        <v>84</v>
      </c>
      <c r="Q66" s="8">
        <v>84</v>
      </c>
      <c r="R66" s="8">
        <v>86</v>
      </c>
      <c r="S66" s="8">
        <v>81</v>
      </c>
      <c r="T66" s="38">
        <v>83</v>
      </c>
      <c r="U66" s="8">
        <v>90</v>
      </c>
      <c r="V66" s="8">
        <v>90</v>
      </c>
      <c r="W66" s="8">
        <v>88</v>
      </c>
      <c r="X66" s="8">
        <v>90</v>
      </c>
      <c r="Y66" s="8">
        <v>75</v>
      </c>
      <c r="Z66" s="38">
        <v>76</v>
      </c>
      <c r="AA66" s="8">
        <v>78</v>
      </c>
      <c r="AB66" s="8">
        <v>80</v>
      </c>
      <c r="AC66" s="8">
        <v>87</v>
      </c>
      <c r="AD66" s="8">
        <v>88</v>
      </c>
      <c r="AE66" s="8">
        <v>80</v>
      </c>
      <c r="AF66" s="38">
        <v>82</v>
      </c>
      <c r="AG66" s="8">
        <v>83</v>
      </c>
      <c r="AH66" s="8">
        <v>84</v>
      </c>
      <c r="AI66" s="8">
        <v>85</v>
      </c>
      <c r="AJ66" s="8">
        <v>90</v>
      </c>
      <c r="AK66" s="10">
        <v>86</v>
      </c>
      <c r="AL66" s="10">
        <v>88</v>
      </c>
      <c r="AM66" s="12"/>
      <c r="AN66" s="12"/>
      <c r="AO66" s="12"/>
      <c r="AP66" s="2" t="s">
        <v>992</v>
      </c>
      <c r="AQ66" s="10">
        <v>82</v>
      </c>
      <c r="AR66" s="38">
        <v>87</v>
      </c>
      <c r="AS66" s="8">
        <v>79</v>
      </c>
      <c r="AT66" s="38">
        <v>81</v>
      </c>
      <c r="AU66" s="8">
        <v>86</v>
      </c>
      <c r="AV66" s="8">
        <v>85</v>
      </c>
      <c r="AW66" s="10">
        <v>79</v>
      </c>
      <c r="AX66" s="38">
        <v>82</v>
      </c>
      <c r="AY66" s="10">
        <v>86</v>
      </c>
      <c r="AZ66" s="38">
        <v>85</v>
      </c>
      <c r="BA66" s="10">
        <v>85</v>
      </c>
      <c r="BB66" s="38">
        <v>84</v>
      </c>
      <c r="BC66" s="10">
        <v>84</v>
      </c>
      <c r="BD66" s="38">
        <v>82</v>
      </c>
      <c r="BE66" s="10">
        <v>80</v>
      </c>
      <c r="BF66" s="38">
        <v>86</v>
      </c>
      <c r="BG66" s="10">
        <v>80</v>
      </c>
      <c r="BH66" s="10">
        <v>83</v>
      </c>
      <c r="BI66" s="8">
        <v>85</v>
      </c>
      <c r="BJ66" s="8">
        <v>86</v>
      </c>
      <c r="BK66" s="8">
        <v>81</v>
      </c>
      <c r="BL66" s="8">
        <v>84</v>
      </c>
      <c r="BM66" s="8">
        <v>87</v>
      </c>
      <c r="BN66" s="8">
        <v>86</v>
      </c>
      <c r="BO66" s="8">
        <v>82</v>
      </c>
      <c r="BP66" s="8">
        <v>90</v>
      </c>
      <c r="BQ66" s="8">
        <v>84</v>
      </c>
      <c r="BR66" s="8">
        <v>84</v>
      </c>
      <c r="BS66" s="8">
        <v>86</v>
      </c>
      <c r="BT66" s="8">
        <v>86</v>
      </c>
      <c r="BU66" s="8">
        <v>86</v>
      </c>
      <c r="BV66" s="41">
        <v>86</v>
      </c>
      <c r="BW66" s="8">
        <v>84</v>
      </c>
      <c r="BX66" s="8">
        <v>85</v>
      </c>
      <c r="BY66" s="8">
        <v>83</v>
      </c>
      <c r="BZ66" s="8">
        <v>86</v>
      </c>
      <c r="CA66" s="10">
        <v>82</v>
      </c>
      <c r="CB66" s="38">
        <v>87</v>
      </c>
      <c r="CC66" s="19" t="s">
        <v>1084</v>
      </c>
      <c r="CD66" s="19" t="s">
        <v>1085</v>
      </c>
      <c r="CE66" s="43" t="s">
        <v>1086</v>
      </c>
      <c r="CF66" s="47" t="s">
        <v>996</v>
      </c>
      <c r="CG66" s="19" t="s">
        <v>1016</v>
      </c>
      <c r="CH66" s="19" t="s">
        <v>1079</v>
      </c>
      <c r="CI66" s="19" t="s">
        <v>1080</v>
      </c>
      <c r="CJ66" s="47" t="s">
        <v>996</v>
      </c>
      <c r="CK66" s="4">
        <v>89</v>
      </c>
      <c r="CL66" s="4">
        <v>88.6666666666667</v>
      </c>
      <c r="CM66" s="4">
        <v>84</v>
      </c>
      <c r="CN66" s="4">
        <v>87</v>
      </c>
      <c r="CO66" s="35">
        <v>82.75</v>
      </c>
      <c r="CP66" s="35">
        <v>85.8333333333333</v>
      </c>
      <c r="CQ66" s="13">
        <f t="shared" si="0"/>
        <v>85</v>
      </c>
      <c r="CR66" s="13">
        <f t="shared" si="1"/>
        <v>84.333333333333329</v>
      </c>
      <c r="CS66" s="13">
        <f t="shared" si="2"/>
        <v>80.666666666666671</v>
      </c>
      <c r="CT66" s="13">
        <f t="shared" si="3"/>
        <v>87</v>
      </c>
      <c r="CU66" s="13">
        <f t="shared" si="4"/>
        <v>84</v>
      </c>
      <c r="CV66" s="13">
        <f t="shared" si="5"/>
        <v>84.5</v>
      </c>
      <c r="CW66" s="13">
        <f t="shared" si="6"/>
        <v>82.75</v>
      </c>
      <c r="CX66" s="13">
        <f t="shared" si="7"/>
        <v>84.5</v>
      </c>
      <c r="CY66" s="13">
        <f t="shared" si="8"/>
        <v>84.5</v>
      </c>
      <c r="CZ66" s="13">
        <f t="shared" si="9"/>
        <v>85.5</v>
      </c>
      <c r="DA66" s="13">
        <f t="shared" si="10"/>
        <v>80.5</v>
      </c>
      <c r="DB66" s="13">
        <f t="shared" si="11"/>
        <v>83</v>
      </c>
      <c r="DC66" s="13">
        <f t="shared" si="12"/>
        <v>81.5</v>
      </c>
      <c r="DD66" s="13">
        <f t="shared" si="13"/>
        <v>83</v>
      </c>
      <c r="DE66" s="13">
        <f t="shared" si="14"/>
        <v>84</v>
      </c>
      <c r="DF66" s="13">
        <f t="shared" si="15"/>
        <v>86.25</v>
      </c>
      <c r="DG66" s="13">
        <f t="shared" si="16"/>
        <v>85</v>
      </c>
      <c r="DH66" s="13">
        <f t="shared" si="17"/>
        <v>84.5</v>
      </c>
      <c r="DI66" s="13">
        <f t="shared" si="18"/>
        <v>86</v>
      </c>
      <c r="DJ66" s="13">
        <f t="shared" si="19"/>
        <v>87</v>
      </c>
      <c r="DK66" s="13">
        <f t="shared" si="20"/>
        <v>84.174999999999997</v>
      </c>
    </row>
    <row r="67" spans="1:115" s="4" customFormat="1" ht="20.100000000000001" customHeight="1">
      <c r="A67">
        <v>66</v>
      </c>
      <c r="B67" s="2">
        <f>'DATA US'!B80</f>
        <v>222310064</v>
      </c>
      <c r="C67" t="str">
        <f>'DATA US'!F80</f>
        <v>BEKASI</v>
      </c>
      <c r="D67" s="37" t="str">
        <f>'DATA US'!G80</f>
        <v>29 Januari 2008</v>
      </c>
      <c r="E67" s="2" t="str">
        <f>'DATA US'!C80</f>
        <v>0082368428</v>
      </c>
      <c r="F67" s="2" t="str">
        <f>'DATA US'!D80</f>
        <v>DEKA RAMADHANI</v>
      </c>
      <c r="G67" s="8">
        <v>85</v>
      </c>
      <c r="H67" s="38">
        <v>84</v>
      </c>
      <c r="I67" s="8">
        <v>86</v>
      </c>
      <c r="J67" s="8">
        <v>87</v>
      </c>
      <c r="K67" s="8">
        <v>85</v>
      </c>
      <c r="L67" s="8">
        <v>86</v>
      </c>
      <c r="M67" s="8">
        <v>85</v>
      </c>
      <c r="N67" s="38">
        <v>87</v>
      </c>
      <c r="O67" s="8">
        <v>86</v>
      </c>
      <c r="P67" s="8">
        <v>87</v>
      </c>
      <c r="Q67" s="8">
        <v>85</v>
      </c>
      <c r="R67" s="8">
        <v>86</v>
      </c>
      <c r="S67" s="8">
        <v>81</v>
      </c>
      <c r="T67" s="38">
        <v>87</v>
      </c>
      <c r="U67" s="8">
        <v>91</v>
      </c>
      <c r="V67" s="8">
        <v>91</v>
      </c>
      <c r="W67" s="8">
        <v>90</v>
      </c>
      <c r="X67" s="8">
        <v>90</v>
      </c>
      <c r="Y67" s="8">
        <v>80</v>
      </c>
      <c r="Z67" s="38">
        <v>83</v>
      </c>
      <c r="AA67" s="8">
        <v>86</v>
      </c>
      <c r="AB67" s="8">
        <v>82</v>
      </c>
      <c r="AC67" s="8">
        <v>90</v>
      </c>
      <c r="AD67" s="8">
        <v>85</v>
      </c>
      <c r="AE67" s="8">
        <v>80</v>
      </c>
      <c r="AF67" s="38">
        <v>83</v>
      </c>
      <c r="AG67" s="8">
        <v>87</v>
      </c>
      <c r="AH67" s="8">
        <v>91</v>
      </c>
      <c r="AI67" s="8">
        <v>92</v>
      </c>
      <c r="AJ67" s="8">
        <v>92</v>
      </c>
      <c r="AK67" s="10">
        <v>87</v>
      </c>
      <c r="AL67" s="10">
        <v>89</v>
      </c>
      <c r="AM67" s="12"/>
      <c r="AN67" s="12"/>
      <c r="AO67" s="12"/>
      <c r="AP67" s="2" t="s">
        <v>992</v>
      </c>
      <c r="AQ67" s="10">
        <v>87</v>
      </c>
      <c r="AR67" s="38">
        <v>87</v>
      </c>
      <c r="AS67" s="8">
        <v>80</v>
      </c>
      <c r="AT67" s="38">
        <v>81</v>
      </c>
      <c r="AU67" s="8">
        <v>87</v>
      </c>
      <c r="AV67" s="8">
        <v>87</v>
      </c>
      <c r="AW67" s="10">
        <v>79</v>
      </c>
      <c r="AX67" s="38">
        <v>86</v>
      </c>
      <c r="AY67" s="10">
        <v>86</v>
      </c>
      <c r="AZ67" s="38">
        <v>86</v>
      </c>
      <c r="BA67" s="10">
        <v>86</v>
      </c>
      <c r="BB67" s="38">
        <v>86</v>
      </c>
      <c r="BC67" s="10">
        <v>84</v>
      </c>
      <c r="BD67" s="38">
        <v>88</v>
      </c>
      <c r="BE67" s="10">
        <v>84</v>
      </c>
      <c r="BF67" s="38">
        <v>87</v>
      </c>
      <c r="BG67" s="10">
        <v>81</v>
      </c>
      <c r="BH67" s="10">
        <v>83</v>
      </c>
      <c r="BI67" s="8">
        <v>86</v>
      </c>
      <c r="BJ67" s="8">
        <v>87</v>
      </c>
      <c r="BK67" s="8">
        <v>82</v>
      </c>
      <c r="BL67" s="8">
        <v>89</v>
      </c>
      <c r="BM67" s="8">
        <v>88</v>
      </c>
      <c r="BN67" s="8">
        <v>86</v>
      </c>
      <c r="BO67" s="8">
        <v>88</v>
      </c>
      <c r="BP67" s="8">
        <v>90</v>
      </c>
      <c r="BQ67" s="8">
        <v>86</v>
      </c>
      <c r="BR67" s="8">
        <v>87</v>
      </c>
      <c r="BS67" s="8">
        <v>88</v>
      </c>
      <c r="BT67" s="8">
        <v>88</v>
      </c>
      <c r="BU67" s="8">
        <v>89</v>
      </c>
      <c r="BV67" s="41">
        <v>89</v>
      </c>
      <c r="BW67" s="8">
        <v>84</v>
      </c>
      <c r="BX67" s="8">
        <v>87</v>
      </c>
      <c r="BY67" s="8">
        <v>85</v>
      </c>
      <c r="BZ67" s="8">
        <v>87</v>
      </c>
      <c r="CA67" s="10">
        <v>84</v>
      </c>
      <c r="CB67" s="38">
        <v>87</v>
      </c>
      <c r="CC67" s="19" t="s">
        <v>993</v>
      </c>
      <c r="CD67" s="19" t="s">
        <v>994</v>
      </c>
      <c r="CE67" s="43" t="s">
        <v>1057</v>
      </c>
      <c r="CF67" s="19" t="s">
        <v>996</v>
      </c>
      <c r="CJ67" s="19"/>
      <c r="CK67" s="4">
        <v>92.3333333333333</v>
      </c>
      <c r="CL67" s="4">
        <v>87</v>
      </c>
      <c r="CM67" s="4">
        <v>86</v>
      </c>
      <c r="CN67" s="4">
        <v>85</v>
      </c>
      <c r="CO67" s="35">
        <v>82.25</v>
      </c>
      <c r="CP67" s="35">
        <v>89.9722222222222</v>
      </c>
      <c r="CQ67" s="13">
        <f t="shared" ref="CQ67:CQ82" si="21">AVERAGE(G67:L67)</f>
        <v>85.5</v>
      </c>
      <c r="CR67" s="13">
        <f t="shared" ref="CR67:CR82" si="22">AVERAGE(M67:R67)</f>
        <v>86</v>
      </c>
      <c r="CS67" s="13">
        <f t="shared" ref="CS67:CS82" si="23">AVERAGE(Y67:AD67)</f>
        <v>84.333333333333329</v>
      </c>
      <c r="CT67" s="13">
        <f t="shared" ref="CT67:CT82" si="24">AVERAGE(S67:X67)</f>
        <v>88.333333333333329</v>
      </c>
      <c r="CU67" s="13">
        <f t="shared" ref="CU67:CU82" si="25">AVERAGE(AE67:AJ67)</f>
        <v>87.5</v>
      </c>
      <c r="CV67" s="13">
        <f t="shared" ref="CV67:CV82" si="26">AVERAGE(AQ67:AR67)</f>
        <v>87</v>
      </c>
      <c r="CW67" s="13">
        <f t="shared" ref="CW67:CW82" si="27">AVERAGE(AS67:AV67)</f>
        <v>83.75</v>
      </c>
      <c r="CX67" s="13">
        <f t="shared" ref="CX67:CX82" si="28">AVERAGE(CA67:CB67)</f>
        <v>85.5</v>
      </c>
      <c r="CY67" s="13">
        <f t="shared" ref="CY67:CY82" si="29">AVERAGE(BA67:BB67)</f>
        <v>86</v>
      </c>
      <c r="CZ67" s="13">
        <f t="shared" ref="CZ67:CZ82" si="30">AVERAGE(AY67:AZ67)</f>
        <v>86</v>
      </c>
      <c r="DA67" s="13">
        <f t="shared" ref="DA67:DA82" si="31">AVERAGE(AW67:AX67)</f>
        <v>82.5</v>
      </c>
      <c r="DB67" s="13">
        <f t="shared" ref="DB67:DB82" si="32">AVERAGE(BE67:BF67)</f>
        <v>85.5</v>
      </c>
      <c r="DC67" s="13">
        <f t="shared" ref="DC67:DC82" si="33">AVERAGE(BG67:BH67)</f>
        <v>82</v>
      </c>
      <c r="DD67" s="13">
        <f t="shared" ref="DD67:DD82" si="34">AVERAGE(BC67:BD67)</f>
        <v>86</v>
      </c>
      <c r="DE67" s="13">
        <f t="shared" ref="DE67:DE82" si="35">AVERAGE(BI67:BL67)</f>
        <v>86</v>
      </c>
      <c r="DF67" s="13">
        <f t="shared" ref="DF67:DF82" si="36">AVERAGE(BM67:BP67)</f>
        <v>88</v>
      </c>
      <c r="DG67" s="13">
        <f t="shared" ref="DG67:DG82" si="37">AVERAGE(BQ67:BT67)</f>
        <v>87.25</v>
      </c>
      <c r="DH67" s="13">
        <f t="shared" ref="DH67:DH82" si="38">AVERAGE(BW67:BZ67)</f>
        <v>85.75</v>
      </c>
      <c r="DI67" s="13">
        <f t="shared" ref="DI67:DI82" si="39">AVERAGE(BU67:BV67)</f>
        <v>89</v>
      </c>
      <c r="DJ67" s="13">
        <f t="shared" ref="DJ67:DJ82" si="40">AVERAGE(AK67:AL67)</f>
        <v>88</v>
      </c>
      <c r="DK67" s="13">
        <f t="shared" ref="DK67:DK82" si="41">AVERAGE(CQ67:DJ67)</f>
        <v>85.995833333333323</v>
      </c>
    </row>
    <row r="68" spans="1:115" s="4" customFormat="1" ht="20.100000000000001" customHeight="1">
      <c r="A68">
        <v>67</v>
      </c>
      <c r="B68" s="2">
        <f>'DATA US'!B81</f>
        <v>222310065</v>
      </c>
      <c r="C68" t="str">
        <f>'DATA US'!F81</f>
        <v>BEKASI</v>
      </c>
      <c r="D68" s="37" t="str">
        <f>'DATA US'!G81</f>
        <v>22 Februari 2007</v>
      </c>
      <c r="E68" s="2" t="str">
        <f>'DATA US'!C81</f>
        <v>0073890825</v>
      </c>
      <c r="F68" s="2" t="str">
        <f>'DATA US'!D81</f>
        <v>DWIYAN PEBRIYANSYAH</v>
      </c>
      <c r="G68" s="8">
        <v>84</v>
      </c>
      <c r="H68" s="38">
        <v>84</v>
      </c>
      <c r="I68" s="8">
        <v>79</v>
      </c>
      <c r="J68" s="8">
        <v>80</v>
      </c>
      <c r="K68" s="8">
        <v>84</v>
      </c>
      <c r="L68" s="8">
        <v>85</v>
      </c>
      <c r="M68" s="8">
        <v>83</v>
      </c>
      <c r="N68" s="38">
        <v>82</v>
      </c>
      <c r="O68" s="8">
        <v>80</v>
      </c>
      <c r="P68" s="8">
        <v>83</v>
      </c>
      <c r="Q68" s="8">
        <v>83</v>
      </c>
      <c r="R68" s="8">
        <v>84</v>
      </c>
      <c r="S68" s="8">
        <v>79</v>
      </c>
      <c r="T68" s="38">
        <v>79</v>
      </c>
      <c r="U68" s="8">
        <v>84</v>
      </c>
      <c r="V68" s="8">
        <v>84</v>
      </c>
      <c r="W68" s="8">
        <v>83</v>
      </c>
      <c r="X68" s="8">
        <v>88</v>
      </c>
      <c r="Y68" s="8">
        <v>75</v>
      </c>
      <c r="Z68" s="38">
        <v>77</v>
      </c>
      <c r="AA68" s="8">
        <v>78</v>
      </c>
      <c r="AB68" s="8">
        <v>79</v>
      </c>
      <c r="AC68" s="8">
        <v>85</v>
      </c>
      <c r="AD68" s="8">
        <v>89</v>
      </c>
      <c r="AE68" s="8">
        <v>77</v>
      </c>
      <c r="AF68" s="38">
        <v>77</v>
      </c>
      <c r="AG68" s="8">
        <v>80</v>
      </c>
      <c r="AH68" s="8">
        <v>84</v>
      </c>
      <c r="AI68" s="8">
        <v>85</v>
      </c>
      <c r="AJ68" s="8">
        <v>90</v>
      </c>
      <c r="AK68" s="10">
        <v>86</v>
      </c>
      <c r="AL68" s="10">
        <v>86</v>
      </c>
      <c r="AM68" s="12"/>
      <c r="AN68" s="12"/>
      <c r="AO68" s="12"/>
      <c r="AP68" s="2" t="s">
        <v>992</v>
      </c>
      <c r="AQ68" s="10">
        <v>82</v>
      </c>
      <c r="AR68" s="38">
        <v>84</v>
      </c>
      <c r="AS68" s="8">
        <v>79</v>
      </c>
      <c r="AT68" s="38">
        <v>81</v>
      </c>
      <c r="AU68" s="8">
        <v>84</v>
      </c>
      <c r="AV68" s="8">
        <v>83</v>
      </c>
      <c r="AW68" s="10">
        <v>78</v>
      </c>
      <c r="AX68" s="38">
        <v>81</v>
      </c>
      <c r="AY68" s="10">
        <v>84</v>
      </c>
      <c r="AZ68" s="38">
        <v>86</v>
      </c>
      <c r="BA68" s="10">
        <v>86</v>
      </c>
      <c r="BB68" s="38">
        <v>85</v>
      </c>
      <c r="BC68" s="10">
        <v>79</v>
      </c>
      <c r="BD68" s="38">
        <v>85</v>
      </c>
      <c r="BE68" s="10">
        <v>78</v>
      </c>
      <c r="BF68" s="38">
        <v>82</v>
      </c>
      <c r="BG68" s="10">
        <v>80</v>
      </c>
      <c r="BH68" s="10">
        <v>82</v>
      </c>
      <c r="BI68" s="48">
        <v>80</v>
      </c>
      <c r="BJ68" s="8">
        <v>82</v>
      </c>
      <c r="BK68" s="8">
        <v>81</v>
      </c>
      <c r="BL68" s="8">
        <v>84</v>
      </c>
      <c r="BM68" s="8">
        <v>83</v>
      </c>
      <c r="BN68" s="8">
        <v>85</v>
      </c>
      <c r="BO68" s="8">
        <v>88</v>
      </c>
      <c r="BP68" s="8">
        <v>90</v>
      </c>
      <c r="BQ68" s="8">
        <v>81</v>
      </c>
      <c r="BR68" s="8">
        <v>84</v>
      </c>
      <c r="BS68" s="8">
        <v>87</v>
      </c>
      <c r="BT68" s="8">
        <v>87</v>
      </c>
      <c r="BU68" s="8">
        <v>81</v>
      </c>
      <c r="BV68" s="41">
        <v>82</v>
      </c>
      <c r="BW68" s="8">
        <v>83</v>
      </c>
      <c r="BX68" s="8">
        <v>86</v>
      </c>
      <c r="BY68" s="8">
        <v>83</v>
      </c>
      <c r="BZ68" s="8">
        <v>87</v>
      </c>
      <c r="CA68" s="10">
        <v>82</v>
      </c>
      <c r="CB68" s="38">
        <v>84</v>
      </c>
      <c r="CC68" s="19" t="s">
        <v>1087</v>
      </c>
      <c r="CD68" s="19" t="s">
        <v>1088</v>
      </c>
      <c r="CE68" s="43" t="s">
        <v>1089</v>
      </c>
      <c r="CF68" s="4" t="s">
        <v>996</v>
      </c>
      <c r="CG68" s="19" t="s">
        <v>1090</v>
      </c>
      <c r="CH68" s="19" t="s">
        <v>1091</v>
      </c>
      <c r="CI68" s="19" t="s">
        <v>1092</v>
      </c>
      <c r="CJ68" s="4" t="s">
        <v>996</v>
      </c>
      <c r="CK68" s="4">
        <v>90</v>
      </c>
      <c r="CL68" s="4">
        <v>87</v>
      </c>
      <c r="CM68" s="4">
        <v>89</v>
      </c>
      <c r="CN68" s="4">
        <v>87</v>
      </c>
      <c r="CO68" s="35">
        <v>82</v>
      </c>
      <c r="CP68" s="35">
        <v>89.25</v>
      </c>
      <c r="CQ68" s="13">
        <f t="shared" si="21"/>
        <v>82.666666666666671</v>
      </c>
      <c r="CR68" s="13">
        <f t="shared" si="22"/>
        <v>82.5</v>
      </c>
      <c r="CS68" s="13">
        <f t="shared" si="23"/>
        <v>80.5</v>
      </c>
      <c r="CT68" s="13">
        <f t="shared" si="24"/>
        <v>82.833333333333329</v>
      </c>
      <c r="CU68" s="13">
        <f t="shared" si="25"/>
        <v>82.166666666666671</v>
      </c>
      <c r="CV68" s="13">
        <f t="shared" si="26"/>
        <v>83</v>
      </c>
      <c r="CW68" s="13">
        <f t="shared" si="27"/>
        <v>81.75</v>
      </c>
      <c r="CX68" s="13">
        <f t="shared" si="28"/>
        <v>83</v>
      </c>
      <c r="CY68" s="13">
        <f t="shared" si="29"/>
        <v>85.5</v>
      </c>
      <c r="CZ68" s="13">
        <f t="shared" si="30"/>
        <v>85</v>
      </c>
      <c r="DA68" s="13">
        <f t="shared" si="31"/>
        <v>79.5</v>
      </c>
      <c r="DB68" s="13">
        <f t="shared" si="32"/>
        <v>80</v>
      </c>
      <c r="DC68" s="13">
        <f t="shared" si="33"/>
        <v>81</v>
      </c>
      <c r="DD68" s="13">
        <f t="shared" si="34"/>
        <v>82</v>
      </c>
      <c r="DE68" s="13">
        <f t="shared" si="35"/>
        <v>81.75</v>
      </c>
      <c r="DF68" s="13">
        <f t="shared" si="36"/>
        <v>86.5</v>
      </c>
      <c r="DG68" s="13">
        <f t="shared" si="37"/>
        <v>84.75</v>
      </c>
      <c r="DH68" s="13">
        <f t="shared" si="38"/>
        <v>84.75</v>
      </c>
      <c r="DI68" s="13">
        <f t="shared" si="39"/>
        <v>81.5</v>
      </c>
      <c r="DJ68" s="13">
        <f t="shared" si="40"/>
        <v>86</v>
      </c>
      <c r="DK68" s="13">
        <f t="shared" si="41"/>
        <v>82.833333333333343</v>
      </c>
    </row>
    <row r="69" spans="1:115" s="4" customFormat="1" ht="20.100000000000001" customHeight="1">
      <c r="A69">
        <v>68</v>
      </c>
      <c r="B69" s="2">
        <f>'DATA US'!B82</f>
        <v>222310066</v>
      </c>
      <c r="C69" t="str">
        <f>'DATA US'!F82</f>
        <v>BEKASI</v>
      </c>
      <c r="D69" s="37" t="str">
        <f>'DATA US'!G82</f>
        <v>10 Nopember 2005</v>
      </c>
      <c r="E69" s="2" t="str">
        <f>'DATA US'!C82</f>
        <v>0053822774</v>
      </c>
      <c r="F69" s="2" t="str">
        <f>'DATA US'!D82</f>
        <v>FALAH AZMI IBRAHIM</v>
      </c>
      <c r="G69" s="8">
        <v>85</v>
      </c>
      <c r="H69" s="38">
        <v>81</v>
      </c>
      <c r="I69" s="8">
        <v>83</v>
      </c>
      <c r="J69" s="8">
        <v>84</v>
      </c>
      <c r="K69" s="8">
        <v>86</v>
      </c>
      <c r="L69" s="8">
        <v>88</v>
      </c>
      <c r="M69" s="8">
        <v>81</v>
      </c>
      <c r="N69" s="38">
        <v>82</v>
      </c>
      <c r="O69" s="8">
        <v>81</v>
      </c>
      <c r="P69" s="8">
        <v>82</v>
      </c>
      <c r="Q69" s="8">
        <v>83</v>
      </c>
      <c r="R69" s="8">
        <v>85</v>
      </c>
      <c r="S69" s="8">
        <v>80</v>
      </c>
      <c r="T69" s="38">
        <v>79</v>
      </c>
      <c r="U69" s="8">
        <v>87</v>
      </c>
      <c r="V69" s="8">
        <v>85</v>
      </c>
      <c r="W69" s="8">
        <v>87</v>
      </c>
      <c r="X69" s="8">
        <v>87</v>
      </c>
      <c r="Y69" s="8">
        <v>75</v>
      </c>
      <c r="Z69" s="38">
        <v>76</v>
      </c>
      <c r="AA69" s="8">
        <v>82</v>
      </c>
      <c r="AB69" s="8">
        <v>79</v>
      </c>
      <c r="AC69" s="8">
        <v>86</v>
      </c>
      <c r="AD69" s="8">
        <v>88</v>
      </c>
      <c r="AE69" s="8">
        <v>77</v>
      </c>
      <c r="AF69" s="38">
        <v>76</v>
      </c>
      <c r="AG69" s="8">
        <v>81</v>
      </c>
      <c r="AH69" s="8">
        <v>84</v>
      </c>
      <c r="AI69" s="8">
        <v>87</v>
      </c>
      <c r="AJ69" s="8">
        <v>90</v>
      </c>
      <c r="AK69" s="10">
        <v>83</v>
      </c>
      <c r="AL69" s="10">
        <v>85</v>
      </c>
      <c r="AM69" s="12"/>
      <c r="AN69" s="12"/>
      <c r="AO69" s="12"/>
      <c r="AP69" s="2" t="s">
        <v>992</v>
      </c>
      <c r="AQ69" s="10">
        <v>83</v>
      </c>
      <c r="AR69" s="38">
        <v>83</v>
      </c>
      <c r="AS69" s="8">
        <v>80</v>
      </c>
      <c r="AT69" s="38">
        <v>81</v>
      </c>
      <c r="AU69" s="8">
        <v>85</v>
      </c>
      <c r="AV69" s="8">
        <v>85</v>
      </c>
      <c r="AW69" s="10">
        <v>75</v>
      </c>
      <c r="AX69" s="38">
        <v>82</v>
      </c>
      <c r="AY69" s="10">
        <v>83</v>
      </c>
      <c r="AZ69" s="38">
        <v>84</v>
      </c>
      <c r="BA69" s="10">
        <v>84</v>
      </c>
      <c r="BB69" s="38">
        <v>84</v>
      </c>
      <c r="BC69" s="10">
        <v>77</v>
      </c>
      <c r="BD69" s="38">
        <v>79</v>
      </c>
      <c r="BE69" s="10">
        <v>79</v>
      </c>
      <c r="BF69" s="38">
        <v>79</v>
      </c>
      <c r="BG69" s="10">
        <v>81</v>
      </c>
      <c r="BH69" s="10">
        <v>83</v>
      </c>
      <c r="BI69" s="8">
        <v>85</v>
      </c>
      <c r="BJ69" s="8">
        <v>87</v>
      </c>
      <c r="BK69" s="8">
        <v>81</v>
      </c>
      <c r="BL69" s="8">
        <v>86</v>
      </c>
      <c r="BM69" s="8">
        <v>84</v>
      </c>
      <c r="BN69" s="8">
        <v>86</v>
      </c>
      <c r="BO69" s="8">
        <v>86</v>
      </c>
      <c r="BP69" s="8">
        <v>84</v>
      </c>
      <c r="BQ69" s="8">
        <v>82</v>
      </c>
      <c r="BR69" s="8">
        <v>87</v>
      </c>
      <c r="BS69" s="8">
        <v>87</v>
      </c>
      <c r="BT69" s="8">
        <v>87</v>
      </c>
      <c r="BU69" s="8">
        <v>85</v>
      </c>
      <c r="BV69" s="41">
        <v>86</v>
      </c>
      <c r="BW69" s="8">
        <v>84</v>
      </c>
      <c r="BX69" s="8">
        <v>86</v>
      </c>
      <c r="BY69" s="8">
        <v>84</v>
      </c>
      <c r="BZ69" s="8">
        <v>87</v>
      </c>
      <c r="CA69" s="10">
        <v>80</v>
      </c>
      <c r="CB69" s="38">
        <v>83</v>
      </c>
      <c r="CC69" s="19" t="s">
        <v>1071</v>
      </c>
      <c r="CD69" s="19" t="s">
        <v>1072</v>
      </c>
      <c r="CE69" s="43" t="s">
        <v>1093</v>
      </c>
      <c r="CF69" s="19" t="s">
        <v>996</v>
      </c>
      <c r="CJ69" s="19"/>
      <c r="CK69" s="4">
        <v>90.3333333333333</v>
      </c>
      <c r="CL69" s="4">
        <v>89</v>
      </c>
      <c r="CM69" s="4">
        <v>85</v>
      </c>
      <c r="CN69" s="4">
        <v>89</v>
      </c>
      <c r="CO69" s="35">
        <v>82</v>
      </c>
      <c r="CP69" s="35">
        <v>88.5277777777778</v>
      </c>
      <c r="CQ69" s="13">
        <f t="shared" si="21"/>
        <v>84.5</v>
      </c>
      <c r="CR69" s="13">
        <f t="shared" si="22"/>
        <v>82.333333333333329</v>
      </c>
      <c r="CS69" s="13">
        <f t="shared" si="23"/>
        <v>81</v>
      </c>
      <c r="CT69" s="13">
        <f t="shared" si="24"/>
        <v>84.166666666666671</v>
      </c>
      <c r="CU69" s="13">
        <f t="shared" si="25"/>
        <v>82.5</v>
      </c>
      <c r="CV69" s="13">
        <f t="shared" si="26"/>
        <v>83</v>
      </c>
      <c r="CW69" s="13">
        <f t="shared" si="27"/>
        <v>82.75</v>
      </c>
      <c r="CX69" s="13">
        <f t="shared" si="28"/>
        <v>81.5</v>
      </c>
      <c r="CY69" s="13">
        <f t="shared" si="29"/>
        <v>84</v>
      </c>
      <c r="CZ69" s="13">
        <f t="shared" si="30"/>
        <v>83.5</v>
      </c>
      <c r="DA69" s="13">
        <f t="shared" si="31"/>
        <v>78.5</v>
      </c>
      <c r="DB69" s="13">
        <f t="shared" si="32"/>
        <v>79</v>
      </c>
      <c r="DC69" s="13">
        <f t="shared" si="33"/>
        <v>82</v>
      </c>
      <c r="DD69" s="13">
        <f t="shared" si="34"/>
        <v>78</v>
      </c>
      <c r="DE69" s="13">
        <f t="shared" si="35"/>
        <v>84.75</v>
      </c>
      <c r="DF69" s="13">
        <f t="shared" si="36"/>
        <v>85</v>
      </c>
      <c r="DG69" s="13">
        <f t="shared" si="37"/>
        <v>85.75</v>
      </c>
      <c r="DH69" s="13">
        <f t="shared" si="38"/>
        <v>85.25</v>
      </c>
      <c r="DI69" s="13">
        <f t="shared" si="39"/>
        <v>85.5</v>
      </c>
      <c r="DJ69" s="13">
        <f t="shared" si="40"/>
        <v>84</v>
      </c>
      <c r="DK69" s="13">
        <f t="shared" si="41"/>
        <v>82.85</v>
      </c>
    </row>
    <row r="70" spans="1:115" s="4" customFormat="1" ht="20.100000000000001" customHeight="1">
      <c r="A70">
        <v>69</v>
      </c>
      <c r="B70" s="2">
        <f>'DATA US'!B83</f>
        <v>222310067</v>
      </c>
      <c r="C70" t="str">
        <f>'DATA US'!F83</f>
        <v>BEKASI</v>
      </c>
      <c r="D70" s="37" t="str">
        <f>'DATA US'!G83</f>
        <v>22 Januari 2007</v>
      </c>
      <c r="E70" s="2" t="str">
        <f>'DATA US'!C83</f>
        <v>007467363</v>
      </c>
      <c r="F70" s="2" t="str">
        <f>'DATA US'!D83</f>
        <v>FARHAN FIRMANSYAH</v>
      </c>
      <c r="G70" s="8">
        <v>81</v>
      </c>
      <c r="H70" s="38">
        <v>79</v>
      </c>
      <c r="I70" s="8">
        <v>84</v>
      </c>
      <c r="J70" s="8">
        <v>85</v>
      </c>
      <c r="K70" s="8">
        <v>80</v>
      </c>
      <c r="L70" s="8">
        <v>83</v>
      </c>
      <c r="M70" s="8">
        <v>83</v>
      </c>
      <c r="N70" s="38">
        <v>85</v>
      </c>
      <c r="O70" s="8">
        <v>84</v>
      </c>
      <c r="P70" s="8">
        <v>82</v>
      </c>
      <c r="Q70" s="8">
        <v>85</v>
      </c>
      <c r="R70" s="8">
        <v>86</v>
      </c>
      <c r="S70" s="8">
        <v>79</v>
      </c>
      <c r="T70" s="38">
        <v>81</v>
      </c>
      <c r="U70" s="8">
        <v>88</v>
      </c>
      <c r="V70" s="8">
        <v>87</v>
      </c>
      <c r="W70" s="8">
        <v>86</v>
      </c>
      <c r="X70" s="8">
        <v>88</v>
      </c>
      <c r="Y70" s="8">
        <v>75</v>
      </c>
      <c r="Z70" s="38">
        <v>75</v>
      </c>
      <c r="AA70" s="8">
        <v>83</v>
      </c>
      <c r="AB70" s="8">
        <v>79</v>
      </c>
      <c r="AC70" s="8">
        <v>87</v>
      </c>
      <c r="AD70" s="8">
        <v>83</v>
      </c>
      <c r="AE70" s="8">
        <v>78</v>
      </c>
      <c r="AF70" s="38">
        <v>81</v>
      </c>
      <c r="AG70" s="8">
        <v>82</v>
      </c>
      <c r="AH70" s="8">
        <v>84</v>
      </c>
      <c r="AI70" s="8">
        <v>87</v>
      </c>
      <c r="AJ70" s="8">
        <v>85</v>
      </c>
      <c r="AK70" s="10">
        <v>85</v>
      </c>
      <c r="AL70" s="10">
        <v>88</v>
      </c>
      <c r="AM70" s="12"/>
      <c r="AN70" s="12"/>
      <c r="AO70" s="12"/>
      <c r="AP70" s="2" t="s">
        <v>992</v>
      </c>
      <c r="AQ70" s="10">
        <v>84</v>
      </c>
      <c r="AR70" s="38">
        <v>86</v>
      </c>
      <c r="AS70" s="8">
        <v>80</v>
      </c>
      <c r="AT70" s="38">
        <v>81</v>
      </c>
      <c r="AU70" s="8">
        <v>87</v>
      </c>
      <c r="AV70" s="8">
        <v>85</v>
      </c>
      <c r="AW70" s="10">
        <v>77</v>
      </c>
      <c r="AX70" s="38">
        <v>81</v>
      </c>
      <c r="AY70" s="10">
        <v>84</v>
      </c>
      <c r="AZ70" s="38">
        <v>84</v>
      </c>
      <c r="BA70" s="10">
        <v>86</v>
      </c>
      <c r="BB70" s="38">
        <v>86</v>
      </c>
      <c r="BC70" s="10">
        <v>78</v>
      </c>
      <c r="BD70" s="38">
        <v>85</v>
      </c>
      <c r="BE70" s="10">
        <v>78</v>
      </c>
      <c r="BF70" s="38">
        <v>83</v>
      </c>
      <c r="BG70" s="10">
        <v>80</v>
      </c>
      <c r="BH70" s="10">
        <v>83</v>
      </c>
      <c r="BI70" s="8">
        <v>84</v>
      </c>
      <c r="BJ70" s="8">
        <v>87</v>
      </c>
      <c r="BK70" s="8">
        <v>81</v>
      </c>
      <c r="BL70" s="8">
        <v>86</v>
      </c>
      <c r="BM70" s="8">
        <v>82</v>
      </c>
      <c r="BN70" s="8">
        <v>85</v>
      </c>
      <c r="BO70" s="8">
        <v>82</v>
      </c>
      <c r="BP70" s="8">
        <v>89</v>
      </c>
      <c r="BQ70" s="8">
        <v>84</v>
      </c>
      <c r="BR70" s="8">
        <v>86</v>
      </c>
      <c r="BS70" s="8">
        <v>85</v>
      </c>
      <c r="BT70" s="8">
        <v>85</v>
      </c>
      <c r="BU70" s="8">
        <v>84</v>
      </c>
      <c r="BV70" s="41">
        <v>83</v>
      </c>
      <c r="BW70" s="8">
        <v>86</v>
      </c>
      <c r="BX70" s="8">
        <v>86</v>
      </c>
      <c r="BY70" s="8">
        <v>84</v>
      </c>
      <c r="BZ70" s="8">
        <v>87</v>
      </c>
      <c r="CA70" s="10">
        <v>82</v>
      </c>
      <c r="CB70" s="38">
        <v>86</v>
      </c>
      <c r="CC70" s="19" t="s">
        <v>1094</v>
      </c>
      <c r="CD70" s="19" t="s">
        <v>1095</v>
      </c>
      <c r="CE70" s="43" t="s">
        <v>1096</v>
      </c>
      <c r="CF70" s="4" t="s">
        <v>996</v>
      </c>
      <c r="CG70" s="19" t="s">
        <v>1023</v>
      </c>
      <c r="CH70" s="19" t="s">
        <v>1024</v>
      </c>
      <c r="CI70" s="19" t="s">
        <v>1097</v>
      </c>
      <c r="CJ70" s="4" t="s">
        <v>996</v>
      </c>
      <c r="CK70" s="4">
        <v>90.3333333333333</v>
      </c>
      <c r="CL70" s="4">
        <v>85</v>
      </c>
      <c r="CM70" s="4">
        <v>86</v>
      </c>
      <c r="CN70" s="4">
        <v>87</v>
      </c>
      <c r="CO70" s="35">
        <v>83.5</v>
      </c>
      <c r="CP70" s="35">
        <v>87.4722222222222</v>
      </c>
      <c r="CQ70" s="13">
        <f t="shared" si="21"/>
        <v>82</v>
      </c>
      <c r="CR70" s="13">
        <f t="shared" si="22"/>
        <v>84.166666666666671</v>
      </c>
      <c r="CS70" s="13">
        <f t="shared" si="23"/>
        <v>80.333333333333329</v>
      </c>
      <c r="CT70" s="13">
        <f t="shared" si="24"/>
        <v>84.833333333333329</v>
      </c>
      <c r="CU70" s="13">
        <f t="shared" si="25"/>
        <v>82.833333333333329</v>
      </c>
      <c r="CV70" s="13">
        <f t="shared" si="26"/>
        <v>85</v>
      </c>
      <c r="CW70" s="13">
        <f t="shared" si="27"/>
        <v>83.25</v>
      </c>
      <c r="CX70" s="13">
        <f t="shared" si="28"/>
        <v>84</v>
      </c>
      <c r="CY70" s="13">
        <f t="shared" si="29"/>
        <v>86</v>
      </c>
      <c r="CZ70" s="13">
        <f t="shared" si="30"/>
        <v>84</v>
      </c>
      <c r="DA70" s="13">
        <f t="shared" si="31"/>
        <v>79</v>
      </c>
      <c r="DB70" s="13">
        <f t="shared" si="32"/>
        <v>80.5</v>
      </c>
      <c r="DC70" s="13">
        <f t="shared" si="33"/>
        <v>81.5</v>
      </c>
      <c r="DD70" s="13">
        <f t="shared" si="34"/>
        <v>81.5</v>
      </c>
      <c r="DE70" s="13">
        <f t="shared" si="35"/>
        <v>84.5</v>
      </c>
      <c r="DF70" s="13">
        <f t="shared" si="36"/>
        <v>84.5</v>
      </c>
      <c r="DG70" s="13">
        <f t="shared" si="37"/>
        <v>85</v>
      </c>
      <c r="DH70" s="13">
        <f t="shared" si="38"/>
        <v>85.75</v>
      </c>
      <c r="DI70" s="13">
        <f t="shared" si="39"/>
        <v>83.5</v>
      </c>
      <c r="DJ70" s="13">
        <f t="shared" si="40"/>
        <v>86.5</v>
      </c>
      <c r="DK70" s="13">
        <f t="shared" si="41"/>
        <v>83.433333333333323</v>
      </c>
    </row>
    <row r="71" spans="1:115" s="4" customFormat="1" ht="20.100000000000001" customHeight="1">
      <c r="A71">
        <v>70</v>
      </c>
      <c r="B71" s="2">
        <f>'DATA US'!B84</f>
        <v>222310068</v>
      </c>
      <c r="C71" t="str">
        <f>'DATA US'!F84</f>
        <v>MAGETAN</v>
      </c>
      <c r="D71" s="37" t="str">
        <f>'DATA US'!G84</f>
        <v>7 Oktober 2007</v>
      </c>
      <c r="E71" s="2" t="str">
        <f>'DATA US'!C84</f>
        <v>0076487037</v>
      </c>
      <c r="F71" s="2" t="str">
        <f>'DATA US'!D84</f>
        <v>IFNU MAULANA</v>
      </c>
      <c r="G71" s="8">
        <v>85</v>
      </c>
      <c r="H71" s="38">
        <v>83</v>
      </c>
      <c r="I71" s="8">
        <v>84</v>
      </c>
      <c r="J71" s="8">
        <v>85</v>
      </c>
      <c r="K71" s="8">
        <v>85</v>
      </c>
      <c r="L71" s="8">
        <v>87</v>
      </c>
      <c r="M71" s="8">
        <v>84</v>
      </c>
      <c r="N71" s="38">
        <v>88</v>
      </c>
      <c r="O71" s="8">
        <v>86</v>
      </c>
      <c r="P71" s="8">
        <v>87</v>
      </c>
      <c r="Q71" s="8">
        <v>86</v>
      </c>
      <c r="R71" s="8">
        <v>90</v>
      </c>
      <c r="S71" s="8">
        <v>80</v>
      </c>
      <c r="T71" s="38">
        <v>87</v>
      </c>
      <c r="U71" s="8">
        <v>91</v>
      </c>
      <c r="V71" s="8">
        <v>90</v>
      </c>
      <c r="W71" s="8">
        <v>88</v>
      </c>
      <c r="X71" s="8">
        <v>90</v>
      </c>
      <c r="Y71" s="8">
        <v>78</v>
      </c>
      <c r="Z71" s="38">
        <v>85</v>
      </c>
      <c r="AA71" s="8">
        <v>87</v>
      </c>
      <c r="AB71" s="8">
        <v>83</v>
      </c>
      <c r="AC71" s="8">
        <v>85</v>
      </c>
      <c r="AD71" s="8">
        <v>86</v>
      </c>
      <c r="AE71" s="8">
        <v>80</v>
      </c>
      <c r="AF71" s="38">
        <v>82</v>
      </c>
      <c r="AG71" s="8">
        <v>85</v>
      </c>
      <c r="AH71" s="8">
        <v>90</v>
      </c>
      <c r="AI71" s="8">
        <v>87</v>
      </c>
      <c r="AJ71" s="8">
        <v>92</v>
      </c>
      <c r="AK71" s="10">
        <v>85</v>
      </c>
      <c r="AL71" s="10">
        <v>88</v>
      </c>
      <c r="AM71" s="12"/>
      <c r="AN71" s="12"/>
      <c r="AO71" s="12"/>
      <c r="AP71" s="2" t="s">
        <v>992</v>
      </c>
      <c r="AQ71" s="10">
        <v>87</v>
      </c>
      <c r="AR71" s="38">
        <v>89</v>
      </c>
      <c r="AS71" s="8">
        <v>80</v>
      </c>
      <c r="AT71" s="38">
        <v>82</v>
      </c>
      <c r="AU71" s="8">
        <v>88</v>
      </c>
      <c r="AV71" s="8">
        <v>87</v>
      </c>
      <c r="AW71" s="10">
        <v>81</v>
      </c>
      <c r="AX71" s="38">
        <v>84</v>
      </c>
      <c r="AY71" s="10">
        <v>84</v>
      </c>
      <c r="AZ71" s="38">
        <v>85</v>
      </c>
      <c r="BA71" s="10">
        <v>85</v>
      </c>
      <c r="BB71" s="38">
        <v>86</v>
      </c>
      <c r="BC71" s="10">
        <v>84</v>
      </c>
      <c r="BD71" s="38">
        <v>86</v>
      </c>
      <c r="BE71" s="10">
        <v>78</v>
      </c>
      <c r="BF71" s="38">
        <v>82</v>
      </c>
      <c r="BG71" s="10">
        <v>81</v>
      </c>
      <c r="BH71" s="10">
        <v>83</v>
      </c>
      <c r="BI71" s="8">
        <v>86</v>
      </c>
      <c r="BJ71" s="8">
        <v>89</v>
      </c>
      <c r="BK71" s="8">
        <v>81</v>
      </c>
      <c r="BL71" s="8">
        <v>86</v>
      </c>
      <c r="BM71" s="8">
        <v>90</v>
      </c>
      <c r="BN71" s="8">
        <v>86</v>
      </c>
      <c r="BO71" s="8">
        <v>83</v>
      </c>
      <c r="BP71" s="8">
        <v>94</v>
      </c>
      <c r="BQ71" s="8">
        <v>84</v>
      </c>
      <c r="BR71" s="8">
        <v>89</v>
      </c>
      <c r="BS71" s="8">
        <v>86</v>
      </c>
      <c r="BT71" s="8">
        <v>86</v>
      </c>
      <c r="BU71" s="8">
        <v>84</v>
      </c>
      <c r="BV71" s="41">
        <v>84</v>
      </c>
      <c r="BW71" s="8">
        <v>85</v>
      </c>
      <c r="BX71" s="8">
        <v>86</v>
      </c>
      <c r="BY71" s="8">
        <v>84</v>
      </c>
      <c r="BZ71" s="8">
        <v>88</v>
      </c>
      <c r="CA71" s="10">
        <v>83</v>
      </c>
      <c r="CB71" s="38">
        <v>89</v>
      </c>
      <c r="CC71" s="19" t="s">
        <v>1098</v>
      </c>
      <c r="CD71" s="19" t="s">
        <v>1099</v>
      </c>
      <c r="CE71" s="43" t="s">
        <v>1100</v>
      </c>
      <c r="CF71" s="4" t="s">
        <v>996</v>
      </c>
      <c r="CG71" s="19" t="s">
        <v>1005</v>
      </c>
      <c r="CH71" s="19" t="s">
        <v>1075</v>
      </c>
      <c r="CI71" s="19" t="s">
        <v>1101</v>
      </c>
      <c r="CJ71" s="4" t="s">
        <v>996</v>
      </c>
      <c r="CK71" s="4">
        <v>92.3333333333333</v>
      </c>
      <c r="CL71" s="4">
        <v>85</v>
      </c>
      <c r="CM71" s="4">
        <v>88</v>
      </c>
      <c r="CN71" s="4">
        <v>86</v>
      </c>
      <c r="CO71" s="35">
        <v>84</v>
      </c>
      <c r="CP71" s="35">
        <v>90.1944444444445</v>
      </c>
      <c r="CQ71" s="13">
        <f t="shared" si="21"/>
        <v>84.833333333333329</v>
      </c>
      <c r="CR71" s="13">
        <f t="shared" si="22"/>
        <v>86.833333333333329</v>
      </c>
      <c r="CS71" s="13">
        <f t="shared" si="23"/>
        <v>84</v>
      </c>
      <c r="CT71" s="13">
        <f t="shared" si="24"/>
        <v>87.666666666666671</v>
      </c>
      <c r="CU71" s="13">
        <f t="shared" si="25"/>
        <v>86</v>
      </c>
      <c r="CV71" s="13">
        <f t="shared" si="26"/>
        <v>88</v>
      </c>
      <c r="CW71" s="13">
        <f t="shared" si="27"/>
        <v>84.25</v>
      </c>
      <c r="CX71" s="13">
        <f t="shared" si="28"/>
        <v>86</v>
      </c>
      <c r="CY71" s="13">
        <f t="shared" si="29"/>
        <v>85.5</v>
      </c>
      <c r="CZ71" s="13">
        <f t="shared" si="30"/>
        <v>84.5</v>
      </c>
      <c r="DA71" s="13">
        <f t="shared" si="31"/>
        <v>82.5</v>
      </c>
      <c r="DB71" s="13">
        <f t="shared" si="32"/>
        <v>80</v>
      </c>
      <c r="DC71" s="13">
        <f t="shared" si="33"/>
        <v>82</v>
      </c>
      <c r="DD71" s="13">
        <f t="shared" si="34"/>
        <v>85</v>
      </c>
      <c r="DE71" s="13">
        <f t="shared" si="35"/>
        <v>85.5</v>
      </c>
      <c r="DF71" s="13">
        <f t="shared" si="36"/>
        <v>88.25</v>
      </c>
      <c r="DG71" s="13">
        <f t="shared" si="37"/>
        <v>86.25</v>
      </c>
      <c r="DH71" s="13">
        <f t="shared" si="38"/>
        <v>85.75</v>
      </c>
      <c r="DI71" s="13">
        <f t="shared" si="39"/>
        <v>84</v>
      </c>
      <c r="DJ71" s="13">
        <f t="shared" si="40"/>
        <v>86.5</v>
      </c>
      <c r="DK71" s="13">
        <f t="shared" si="41"/>
        <v>85.166666666666657</v>
      </c>
    </row>
    <row r="72" spans="1:115" s="4" customFormat="1" ht="20.100000000000001" customHeight="1">
      <c r="A72">
        <v>71</v>
      </c>
      <c r="B72" s="2">
        <f>'DATA US'!B85</f>
        <v>222310069</v>
      </c>
      <c r="C72" t="str">
        <f>'DATA US'!F85</f>
        <v>BEKASI</v>
      </c>
      <c r="D72" s="37" t="str">
        <f>'DATA US'!G85</f>
        <v>18 April 2007</v>
      </c>
      <c r="E72" s="2" t="str">
        <f>'DATA US'!C85</f>
        <v>0072650086</v>
      </c>
      <c r="F72" s="2" t="str">
        <f>'DATA US'!D85</f>
        <v>IRWAN SAPUTRA</v>
      </c>
      <c r="G72" s="8">
        <v>81</v>
      </c>
      <c r="H72" s="38">
        <v>79</v>
      </c>
      <c r="I72" s="8">
        <v>82</v>
      </c>
      <c r="J72" s="8">
        <v>83</v>
      </c>
      <c r="K72" s="8">
        <v>83</v>
      </c>
      <c r="L72" s="8">
        <v>84</v>
      </c>
      <c r="M72" s="8">
        <v>81</v>
      </c>
      <c r="N72" s="38">
        <v>81</v>
      </c>
      <c r="O72" s="8">
        <v>82</v>
      </c>
      <c r="P72" s="8">
        <v>83</v>
      </c>
      <c r="Q72" s="8">
        <v>83</v>
      </c>
      <c r="R72" s="8">
        <v>84</v>
      </c>
      <c r="S72" s="8">
        <v>81</v>
      </c>
      <c r="T72" s="38">
        <v>81</v>
      </c>
      <c r="U72" s="8">
        <v>82</v>
      </c>
      <c r="V72" s="8">
        <v>84</v>
      </c>
      <c r="W72" s="8">
        <v>83</v>
      </c>
      <c r="X72" s="8">
        <v>86</v>
      </c>
      <c r="Y72" s="8">
        <v>75</v>
      </c>
      <c r="Z72" s="38">
        <v>75</v>
      </c>
      <c r="AA72" s="8">
        <v>78</v>
      </c>
      <c r="AB72" s="8">
        <v>79</v>
      </c>
      <c r="AC72" s="8">
        <v>86</v>
      </c>
      <c r="AD72" s="8">
        <v>87</v>
      </c>
      <c r="AE72" s="8">
        <v>77</v>
      </c>
      <c r="AF72" s="38">
        <v>77</v>
      </c>
      <c r="AG72" s="8">
        <v>83</v>
      </c>
      <c r="AH72" s="8">
        <v>84</v>
      </c>
      <c r="AI72" s="8">
        <v>85</v>
      </c>
      <c r="AJ72" s="8">
        <v>87</v>
      </c>
      <c r="AK72" s="10">
        <v>84</v>
      </c>
      <c r="AL72" s="10">
        <v>84</v>
      </c>
      <c r="AM72" s="12"/>
      <c r="AN72" s="12"/>
      <c r="AO72" s="12"/>
      <c r="AP72" s="2" t="s">
        <v>992</v>
      </c>
      <c r="AQ72" s="10">
        <v>84</v>
      </c>
      <c r="AR72" s="38">
        <v>83</v>
      </c>
      <c r="AS72" s="8">
        <v>79</v>
      </c>
      <c r="AT72" s="38">
        <v>81</v>
      </c>
      <c r="AU72" s="8">
        <v>83</v>
      </c>
      <c r="AV72" s="8">
        <v>81</v>
      </c>
      <c r="AW72" s="10">
        <v>75</v>
      </c>
      <c r="AX72" s="38">
        <v>82</v>
      </c>
      <c r="AY72" s="10">
        <v>83</v>
      </c>
      <c r="AZ72" s="38">
        <v>84</v>
      </c>
      <c r="BA72" s="10">
        <v>84</v>
      </c>
      <c r="BB72" s="38">
        <v>84</v>
      </c>
      <c r="BC72" s="10">
        <v>83</v>
      </c>
      <c r="BD72" s="38">
        <v>84</v>
      </c>
      <c r="BE72" s="10">
        <v>78</v>
      </c>
      <c r="BF72" s="38">
        <v>81</v>
      </c>
      <c r="BG72" s="10">
        <v>75</v>
      </c>
      <c r="BH72" s="10">
        <v>80</v>
      </c>
      <c r="BI72" s="8">
        <v>85</v>
      </c>
      <c r="BJ72" s="8">
        <v>85</v>
      </c>
      <c r="BK72" s="8">
        <v>81</v>
      </c>
      <c r="BL72" s="8">
        <v>82</v>
      </c>
      <c r="BM72" s="8">
        <v>83</v>
      </c>
      <c r="BN72" s="8">
        <v>85</v>
      </c>
      <c r="BO72" s="8">
        <v>81</v>
      </c>
      <c r="BP72" s="8">
        <v>90</v>
      </c>
      <c r="BQ72" s="8">
        <v>81</v>
      </c>
      <c r="BR72" s="8">
        <v>85</v>
      </c>
      <c r="BS72" s="8">
        <v>86</v>
      </c>
      <c r="BT72" s="8">
        <v>86</v>
      </c>
      <c r="BU72" s="8">
        <v>84</v>
      </c>
      <c r="BV72" s="41">
        <v>84</v>
      </c>
      <c r="BW72" s="8">
        <v>84</v>
      </c>
      <c r="BX72" s="8">
        <v>85</v>
      </c>
      <c r="BY72" s="8">
        <v>84</v>
      </c>
      <c r="BZ72" s="8">
        <v>85</v>
      </c>
      <c r="CA72" s="10">
        <v>80</v>
      </c>
      <c r="CB72" s="38">
        <v>83</v>
      </c>
      <c r="CC72" s="19" t="s">
        <v>1001</v>
      </c>
      <c r="CD72" s="44" t="s">
        <v>1036</v>
      </c>
      <c r="CE72" s="43" t="s">
        <v>1102</v>
      </c>
      <c r="CF72" s="19" t="s">
        <v>996</v>
      </c>
      <c r="CG72" s="4" t="s">
        <v>992</v>
      </c>
      <c r="CJ72" s="19"/>
      <c r="CK72" s="4">
        <v>89.6666666666667</v>
      </c>
      <c r="CL72" s="4">
        <v>84</v>
      </c>
      <c r="CM72" s="4">
        <v>81</v>
      </c>
      <c r="CN72" s="4">
        <v>87</v>
      </c>
      <c r="CO72" s="35">
        <v>82.25</v>
      </c>
      <c r="CP72" s="35">
        <v>88.8055555555555</v>
      </c>
      <c r="CQ72" s="13">
        <f t="shared" si="21"/>
        <v>82</v>
      </c>
      <c r="CR72" s="13">
        <f t="shared" si="22"/>
        <v>82.333333333333329</v>
      </c>
      <c r="CS72" s="13">
        <f t="shared" si="23"/>
        <v>80</v>
      </c>
      <c r="CT72" s="13">
        <f t="shared" si="24"/>
        <v>82.833333333333329</v>
      </c>
      <c r="CU72" s="13">
        <f t="shared" si="25"/>
        <v>82.166666666666671</v>
      </c>
      <c r="CV72" s="13">
        <f t="shared" si="26"/>
        <v>83.5</v>
      </c>
      <c r="CW72" s="13">
        <f t="shared" si="27"/>
        <v>81</v>
      </c>
      <c r="CX72" s="13">
        <f t="shared" si="28"/>
        <v>81.5</v>
      </c>
      <c r="CY72" s="13">
        <f t="shared" si="29"/>
        <v>84</v>
      </c>
      <c r="CZ72" s="13">
        <f t="shared" si="30"/>
        <v>83.5</v>
      </c>
      <c r="DA72" s="13">
        <f t="shared" si="31"/>
        <v>78.5</v>
      </c>
      <c r="DB72" s="13">
        <f t="shared" si="32"/>
        <v>79.5</v>
      </c>
      <c r="DC72" s="13">
        <f t="shared" si="33"/>
        <v>77.5</v>
      </c>
      <c r="DD72" s="13">
        <f t="shared" si="34"/>
        <v>83.5</v>
      </c>
      <c r="DE72" s="13">
        <f t="shared" si="35"/>
        <v>83.25</v>
      </c>
      <c r="DF72" s="13">
        <f t="shared" si="36"/>
        <v>84.75</v>
      </c>
      <c r="DG72" s="13">
        <f t="shared" si="37"/>
        <v>84.5</v>
      </c>
      <c r="DH72" s="13">
        <f t="shared" si="38"/>
        <v>84.5</v>
      </c>
      <c r="DI72" s="13">
        <f t="shared" si="39"/>
        <v>84</v>
      </c>
      <c r="DJ72" s="13">
        <f t="shared" si="40"/>
        <v>84</v>
      </c>
      <c r="DK72" s="13">
        <f t="shared" si="41"/>
        <v>82.341666666666669</v>
      </c>
    </row>
    <row r="73" spans="1:115" s="4" customFormat="1" ht="20.100000000000001" customHeight="1">
      <c r="A73">
        <v>72</v>
      </c>
      <c r="B73" s="2">
        <f>'DATA US'!B86</f>
        <v>222310070</v>
      </c>
      <c r="C73" t="str">
        <f>'DATA US'!F86</f>
        <v>BEKASI</v>
      </c>
      <c r="D73" s="37" t="str">
        <f>'DATA US'!G86</f>
        <v>22 Mei 2007</v>
      </c>
      <c r="E73" s="2" t="str">
        <f>'DATA US'!C86</f>
        <v>0073077836</v>
      </c>
      <c r="F73" s="2" t="str">
        <f>'DATA US'!D86</f>
        <v>KARDI MAULANA</v>
      </c>
      <c r="G73" s="8">
        <v>83</v>
      </c>
      <c r="H73" s="38">
        <v>81</v>
      </c>
      <c r="I73" s="8">
        <v>85</v>
      </c>
      <c r="J73" s="8">
        <v>87</v>
      </c>
      <c r="K73" s="8">
        <v>85</v>
      </c>
      <c r="L73" s="8">
        <v>85</v>
      </c>
      <c r="M73" s="8">
        <v>83</v>
      </c>
      <c r="N73" s="38">
        <v>82</v>
      </c>
      <c r="O73" s="8">
        <v>82</v>
      </c>
      <c r="P73" s="8">
        <v>82</v>
      </c>
      <c r="Q73" s="8">
        <v>84</v>
      </c>
      <c r="R73" s="8">
        <v>85</v>
      </c>
      <c r="S73" s="8">
        <v>79</v>
      </c>
      <c r="T73" s="38">
        <v>81</v>
      </c>
      <c r="U73" s="8">
        <v>84</v>
      </c>
      <c r="V73" s="8">
        <v>84</v>
      </c>
      <c r="W73" s="48">
        <v>85</v>
      </c>
      <c r="X73" s="48">
        <v>88</v>
      </c>
      <c r="Y73" s="8">
        <v>75</v>
      </c>
      <c r="Z73" s="38">
        <v>75</v>
      </c>
      <c r="AA73" s="8">
        <v>78</v>
      </c>
      <c r="AB73" s="8">
        <v>79</v>
      </c>
      <c r="AC73" s="8">
        <v>85</v>
      </c>
      <c r="AD73" s="8">
        <v>86</v>
      </c>
      <c r="AE73" s="8">
        <v>78</v>
      </c>
      <c r="AF73" s="38">
        <v>78</v>
      </c>
      <c r="AG73" s="8">
        <v>81</v>
      </c>
      <c r="AH73" s="8">
        <v>84</v>
      </c>
      <c r="AI73" s="8">
        <v>90</v>
      </c>
      <c r="AJ73" s="8">
        <v>88</v>
      </c>
      <c r="AK73" s="10">
        <v>85</v>
      </c>
      <c r="AL73" s="10">
        <v>86</v>
      </c>
      <c r="AM73" s="12"/>
      <c r="AN73" s="12"/>
      <c r="AO73" s="12"/>
      <c r="AP73" s="2" t="s">
        <v>992</v>
      </c>
      <c r="AQ73" s="10">
        <v>83</v>
      </c>
      <c r="AR73" s="38">
        <v>84</v>
      </c>
      <c r="AS73" s="8">
        <v>80</v>
      </c>
      <c r="AT73" s="38">
        <v>81</v>
      </c>
      <c r="AU73" s="8">
        <v>84</v>
      </c>
      <c r="AV73" s="8">
        <v>83</v>
      </c>
      <c r="AW73" s="10">
        <v>76</v>
      </c>
      <c r="AX73" s="38">
        <v>84</v>
      </c>
      <c r="AY73" s="10">
        <v>84</v>
      </c>
      <c r="AZ73" s="38">
        <v>82</v>
      </c>
      <c r="BA73" s="10">
        <v>86</v>
      </c>
      <c r="BB73" s="38">
        <v>85</v>
      </c>
      <c r="BC73" s="10">
        <v>81</v>
      </c>
      <c r="BD73" s="38">
        <v>81</v>
      </c>
      <c r="BE73" s="10">
        <v>79</v>
      </c>
      <c r="BF73" s="38">
        <v>82</v>
      </c>
      <c r="BG73" s="10">
        <v>79</v>
      </c>
      <c r="BH73" s="10">
        <v>82</v>
      </c>
      <c r="BI73" s="8">
        <v>86</v>
      </c>
      <c r="BJ73" s="8">
        <v>87</v>
      </c>
      <c r="BK73" s="8">
        <v>82</v>
      </c>
      <c r="BL73" s="8">
        <v>86</v>
      </c>
      <c r="BM73" s="8">
        <v>82</v>
      </c>
      <c r="BN73" s="8">
        <v>85</v>
      </c>
      <c r="BO73" s="8">
        <v>88</v>
      </c>
      <c r="BP73" s="8">
        <v>92</v>
      </c>
      <c r="BQ73" s="8">
        <v>84</v>
      </c>
      <c r="BR73" s="8">
        <v>88</v>
      </c>
      <c r="BS73" s="8">
        <v>85</v>
      </c>
      <c r="BT73" s="8">
        <v>85</v>
      </c>
      <c r="BU73" s="8">
        <v>87</v>
      </c>
      <c r="BV73" s="41">
        <v>87</v>
      </c>
      <c r="BW73" s="8">
        <v>84</v>
      </c>
      <c r="BX73" s="8">
        <v>87</v>
      </c>
      <c r="BY73" s="8">
        <v>84</v>
      </c>
      <c r="BZ73" s="8">
        <v>87</v>
      </c>
      <c r="CA73" s="10">
        <v>82</v>
      </c>
      <c r="CB73" s="38">
        <v>84</v>
      </c>
      <c r="CC73" s="19" t="s">
        <v>1005</v>
      </c>
      <c r="CD73" s="19" t="s">
        <v>1077</v>
      </c>
      <c r="CE73" s="43" t="s">
        <v>1078</v>
      </c>
      <c r="CF73" s="19" t="s">
        <v>996</v>
      </c>
      <c r="CJ73" s="19"/>
      <c r="CK73" s="4">
        <v>90.3333333333333</v>
      </c>
      <c r="CL73" s="4">
        <v>86</v>
      </c>
      <c r="CM73" s="4">
        <v>83</v>
      </c>
      <c r="CN73" s="4">
        <v>87</v>
      </c>
      <c r="CO73" s="35">
        <v>82</v>
      </c>
      <c r="CP73" s="35">
        <v>87.0277777777778</v>
      </c>
      <c r="CQ73" s="13">
        <f t="shared" si="21"/>
        <v>84.333333333333329</v>
      </c>
      <c r="CR73" s="13">
        <f t="shared" si="22"/>
        <v>83</v>
      </c>
      <c r="CS73" s="13">
        <f t="shared" si="23"/>
        <v>79.666666666666671</v>
      </c>
      <c r="CT73" s="13">
        <f t="shared" si="24"/>
        <v>83.5</v>
      </c>
      <c r="CU73" s="13">
        <f t="shared" si="25"/>
        <v>83.166666666666671</v>
      </c>
      <c r="CV73" s="13">
        <f t="shared" si="26"/>
        <v>83.5</v>
      </c>
      <c r="CW73" s="13">
        <f t="shared" si="27"/>
        <v>82</v>
      </c>
      <c r="CX73" s="13">
        <f t="shared" si="28"/>
        <v>83</v>
      </c>
      <c r="CY73" s="13">
        <f t="shared" si="29"/>
        <v>85.5</v>
      </c>
      <c r="CZ73" s="13">
        <f t="shared" si="30"/>
        <v>83</v>
      </c>
      <c r="DA73" s="13">
        <f t="shared" si="31"/>
        <v>80</v>
      </c>
      <c r="DB73" s="13">
        <f t="shared" si="32"/>
        <v>80.5</v>
      </c>
      <c r="DC73" s="13">
        <f t="shared" si="33"/>
        <v>80.5</v>
      </c>
      <c r="DD73" s="13">
        <f t="shared" si="34"/>
        <v>81</v>
      </c>
      <c r="DE73" s="13">
        <f t="shared" si="35"/>
        <v>85.25</v>
      </c>
      <c r="DF73" s="13">
        <f t="shared" si="36"/>
        <v>86.75</v>
      </c>
      <c r="DG73" s="13">
        <f t="shared" si="37"/>
        <v>85.5</v>
      </c>
      <c r="DH73" s="13">
        <f t="shared" si="38"/>
        <v>85.5</v>
      </c>
      <c r="DI73" s="13">
        <f t="shared" si="39"/>
        <v>87</v>
      </c>
      <c r="DJ73" s="13">
        <f t="shared" si="40"/>
        <v>85.5</v>
      </c>
      <c r="DK73" s="13">
        <f t="shared" si="41"/>
        <v>83.408333333333331</v>
      </c>
    </row>
    <row r="74" spans="1:115" s="4" customFormat="1" ht="20.100000000000001" customHeight="1">
      <c r="A74">
        <v>73</v>
      </c>
      <c r="B74" s="2">
        <f>'DATA US'!B87</f>
        <v>222310071</v>
      </c>
      <c r="C74" t="str">
        <f>'DATA US'!F87</f>
        <v>BEKASI</v>
      </c>
      <c r="D74" s="37" t="str">
        <f>'DATA US'!G87</f>
        <v>5 Januari 2007</v>
      </c>
      <c r="E74" s="2" t="str">
        <f>'DATA US'!C87</f>
        <v>0072160321</v>
      </c>
      <c r="F74" s="2" t="str">
        <f>'DATA US'!D87</f>
        <v>LUTHFI PURNAMA</v>
      </c>
      <c r="G74" s="8">
        <v>82</v>
      </c>
      <c r="H74" s="38">
        <v>79</v>
      </c>
      <c r="I74" s="8">
        <v>85</v>
      </c>
      <c r="J74" s="8">
        <v>84</v>
      </c>
      <c r="K74" s="8">
        <v>83</v>
      </c>
      <c r="L74" s="8">
        <v>84</v>
      </c>
      <c r="M74" s="8">
        <v>80</v>
      </c>
      <c r="N74" s="38">
        <v>84</v>
      </c>
      <c r="O74" s="8">
        <v>84</v>
      </c>
      <c r="P74" s="8">
        <v>85</v>
      </c>
      <c r="Q74" s="8">
        <v>85</v>
      </c>
      <c r="R74" s="8">
        <v>87</v>
      </c>
      <c r="S74" s="8">
        <v>79</v>
      </c>
      <c r="T74" s="38">
        <v>82</v>
      </c>
      <c r="U74" s="8">
        <v>91</v>
      </c>
      <c r="V74" s="8">
        <v>88</v>
      </c>
      <c r="W74" s="8">
        <v>87</v>
      </c>
      <c r="X74" s="8">
        <v>90</v>
      </c>
      <c r="Y74" s="8">
        <v>75</v>
      </c>
      <c r="Z74" s="38">
        <v>76</v>
      </c>
      <c r="AA74" s="8">
        <v>81</v>
      </c>
      <c r="AB74" s="8">
        <v>79</v>
      </c>
      <c r="AC74" s="8">
        <v>86</v>
      </c>
      <c r="AD74" s="8">
        <v>84</v>
      </c>
      <c r="AE74" s="8">
        <v>77</v>
      </c>
      <c r="AF74" s="38">
        <v>80</v>
      </c>
      <c r="AG74" s="8">
        <v>83</v>
      </c>
      <c r="AH74" s="8">
        <v>88</v>
      </c>
      <c r="AI74" s="8">
        <v>90</v>
      </c>
      <c r="AJ74" s="8">
        <v>84</v>
      </c>
      <c r="AK74" s="10">
        <v>86</v>
      </c>
      <c r="AL74" s="10">
        <v>87</v>
      </c>
      <c r="AM74" s="12"/>
      <c r="AN74" s="12"/>
      <c r="AO74" s="12"/>
      <c r="AP74" s="2" t="s">
        <v>992</v>
      </c>
      <c r="AQ74" s="10">
        <v>84</v>
      </c>
      <c r="AR74" s="38">
        <v>84</v>
      </c>
      <c r="AS74" s="8">
        <v>80</v>
      </c>
      <c r="AT74" s="38">
        <v>81</v>
      </c>
      <c r="AU74" s="8">
        <v>87</v>
      </c>
      <c r="AV74" s="8">
        <v>86</v>
      </c>
      <c r="AW74" s="10">
        <v>77</v>
      </c>
      <c r="AX74" s="38">
        <v>85</v>
      </c>
      <c r="AY74" s="10">
        <v>83</v>
      </c>
      <c r="AZ74" s="38">
        <v>84</v>
      </c>
      <c r="BA74" s="10">
        <v>85</v>
      </c>
      <c r="BB74" s="38">
        <v>85</v>
      </c>
      <c r="BC74" s="10">
        <v>81</v>
      </c>
      <c r="BD74" s="38">
        <v>82</v>
      </c>
      <c r="BE74" s="10">
        <v>79</v>
      </c>
      <c r="BF74" s="38">
        <v>80</v>
      </c>
      <c r="BG74" s="10">
        <v>80</v>
      </c>
      <c r="BH74" s="10">
        <v>82</v>
      </c>
      <c r="BI74" s="8">
        <v>84</v>
      </c>
      <c r="BJ74" s="8">
        <v>88</v>
      </c>
      <c r="BK74" s="8">
        <v>81</v>
      </c>
      <c r="BL74" s="8">
        <v>86</v>
      </c>
      <c r="BM74" s="8">
        <v>83</v>
      </c>
      <c r="BN74" s="8">
        <v>85</v>
      </c>
      <c r="BO74" s="8">
        <v>82</v>
      </c>
      <c r="BP74" s="8">
        <v>92</v>
      </c>
      <c r="BQ74" s="8">
        <v>84</v>
      </c>
      <c r="BR74" s="8">
        <v>85</v>
      </c>
      <c r="BS74" s="8">
        <v>88</v>
      </c>
      <c r="BT74" s="8">
        <v>88</v>
      </c>
      <c r="BU74" s="8">
        <v>84</v>
      </c>
      <c r="BV74" s="41">
        <v>83</v>
      </c>
      <c r="BW74" s="8">
        <v>85</v>
      </c>
      <c r="BX74" s="8">
        <v>87</v>
      </c>
      <c r="BY74" s="8">
        <v>84</v>
      </c>
      <c r="BZ74" s="8">
        <v>87</v>
      </c>
      <c r="CA74" s="10">
        <v>83</v>
      </c>
      <c r="CB74" s="38">
        <v>84</v>
      </c>
      <c r="CC74" s="19" t="s">
        <v>993</v>
      </c>
      <c r="CD74" s="19" t="s">
        <v>1088</v>
      </c>
      <c r="CE74" s="43" t="s">
        <v>1069</v>
      </c>
      <c r="CF74" s="4" t="s">
        <v>996</v>
      </c>
      <c r="CG74" s="19" t="s">
        <v>1023</v>
      </c>
      <c r="CH74" s="19" t="s">
        <v>1024</v>
      </c>
      <c r="CI74" s="19" t="s">
        <v>1103</v>
      </c>
      <c r="CJ74" s="4" t="s">
        <v>996</v>
      </c>
      <c r="CK74" s="4">
        <v>89.3333333333333</v>
      </c>
      <c r="CL74" s="4">
        <v>85.3333333333333</v>
      </c>
      <c r="CM74" s="4">
        <v>83</v>
      </c>
      <c r="CN74" s="4">
        <v>89</v>
      </c>
      <c r="CO74" s="35">
        <v>83.5</v>
      </c>
      <c r="CP74" s="35">
        <v>89.8611111111111</v>
      </c>
      <c r="CQ74" s="13">
        <f t="shared" si="21"/>
        <v>82.833333333333329</v>
      </c>
      <c r="CR74" s="13">
        <f t="shared" si="22"/>
        <v>84.166666666666671</v>
      </c>
      <c r="CS74" s="13">
        <f t="shared" si="23"/>
        <v>80.166666666666671</v>
      </c>
      <c r="CT74" s="13">
        <f t="shared" si="24"/>
        <v>86.166666666666671</v>
      </c>
      <c r="CU74" s="13">
        <f t="shared" si="25"/>
        <v>83.666666666666671</v>
      </c>
      <c r="CV74" s="13">
        <f t="shared" si="26"/>
        <v>84</v>
      </c>
      <c r="CW74" s="13">
        <f t="shared" si="27"/>
        <v>83.5</v>
      </c>
      <c r="CX74" s="13">
        <f t="shared" si="28"/>
        <v>83.5</v>
      </c>
      <c r="CY74" s="13">
        <f t="shared" si="29"/>
        <v>85</v>
      </c>
      <c r="CZ74" s="13">
        <f t="shared" si="30"/>
        <v>83.5</v>
      </c>
      <c r="DA74" s="13">
        <f t="shared" si="31"/>
        <v>81</v>
      </c>
      <c r="DB74" s="13">
        <f t="shared" si="32"/>
        <v>79.5</v>
      </c>
      <c r="DC74" s="13">
        <f t="shared" si="33"/>
        <v>81</v>
      </c>
      <c r="DD74" s="13">
        <f t="shared" si="34"/>
        <v>81.5</v>
      </c>
      <c r="DE74" s="13">
        <f t="shared" si="35"/>
        <v>84.75</v>
      </c>
      <c r="DF74" s="13">
        <f t="shared" si="36"/>
        <v>85.5</v>
      </c>
      <c r="DG74" s="13">
        <f t="shared" si="37"/>
        <v>86.25</v>
      </c>
      <c r="DH74" s="13">
        <f t="shared" si="38"/>
        <v>85.75</v>
      </c>
      <c r="DI74" s="13">
        <f t="shared" si="39"/>
        <v>83.5</v>
      </c>
      <c r="DJ74" s="13">
        <f t="shared" si="40"/>
        <v>86.5</v>
      </c>
      <c r="DK74" s="13">
        <f t="shared" si="41"/>
        <v>83.587500000000006</v>
      </c>
    </row>
    <row r="75" spans="1:115" s="4" customFormat="1" ht="20.100000000000001" customHeight="1">
      <c r="A75">
        <v>74</v>
      </c>
      <c r="B75" s="2">
        <f>'DATA US'!B88</f>
        <v>222310072</v>
      </c>
      <c r="C75" t="str">
        <f>'DATA US'!F88</f>
        <v>BEKASI</v>
      </c>
      <c r="D75" s="37" t="str">
        <f>'DATA US'!G88</f>
        <v>9 Agustus 2007</v>
      </c>
      <c r="E75" s="2" t="str">
        <f>'DATA US'!C88</f>
        <v>0074411269</v>
      </c>
      <c r="F75" s="2" t="str">
        <f>'DATA US'!D88</f>
        <v>MUHAMAD AGUNG LAKSANA</v>
      </c>
      <c r="G75" s="8">
        <v>79</v>
      </c>
      <c r="H75" s="38">
        <v>76</v>
      </c>
      <c r="I75" s="8">
        <v>81</v>
      </c>
      <c r="J75" s="8">
        <v>80</v>
      </c>
      <c r="K75" s="8">
        <v>82</v>
      </c>
      <c r="L75" s="8">
        <v>83</v>
      </c>
      <c r="M75" s="8">
        <v>80</v>
      </c>
      <c r="N75" s="38">
        <v>81</v>
      </c>
      <c r="O75" s="8">
        <v>82</v>
      </c>
      <c r="P75" s="8">
        <v>81</v>
      </c>
      <c r="Q75" s="8">
        <v>83</v>
      </c>
      <c r="R75" s="8">
        <v>84</v>
      </c>
      <c r="S75" s="8">
        <v>78</v>
      </c>
      <c r="T75" s="38">
        <v>79</v>
      </c>
      <c r="U75" s="8">
        <v>80</v>
      </c>
      <c r="V75" s="8">
        <v>85</v>
      </c>
      <c r="W75" s="8">
        <v>83</v>
      </c>
      <c r="X75" s="8">
        <v>85</v>
      </c>
      <c r="Y75" s="8">
        <v>75</v>
      </c>
      <c r="Z75" s="38">
        <v>76</v>
      </c>
      <c r="AA75" s="8">
        <v>78</v>
      </c>
      <c r="AB75" s="8">
        <v>78</v>
      </c>
      <c r="AC75" s="8">
        <v>87</v>
      </c>
      <c r="AD75" s="8">
        <v>89</v>
      </c>
      <c r="AE75" s="8">
        <v>76</v>
      </c>
      <c r="AF75" s="38">
        <v>76</v>
      </c>
      <c r="AG75" s="49">
        <v>80</v>
      </c>
      <c r="AH75" s="8">
        <v>84</v>
      </c>
      <c r="AI75" s="49">
        <v>86</v>
      </c>
      <c r="AJ75" s="49">
        <v>85</v>
      </c>
      <c r="AK75" s="10">
        <v>82</v>
      </c>
      <c r="AL75" s="10">
        <v>81</v>
      </c>
      <c r="AM75" s="12"/>
      <c r="AN75" s="12"/>
      <c r="AO75" s="12"/>
      <c r="AP75" s="2" t="s">
        <v>992</v>
      </c>
      <c r="AQ75" s="10">
        <v>83</v>
      </c>
      <c r="AR75" s="38">
        <v>82</v>
      </c>
      <c r="AS75" s="8">
        <v>78</v>
      </c>
      <c r="AT75" s="38">
        <v>81</v>
      </c>
      <c r="AU75" s="8">
        <v>81</v>
      </c>
      <c r="AV75" s="8">
        <v>81</v>
      </c>
      <c r="AW75" s="10">
        <v>76</v>
      </c>
      <c r="AX75" s="38">
        <v>85</v>
      </c>
      <c r="AY75" s="10">
        <v>82</v>
      </c>
      <c r="AZ75" s="38">
        <v>83</v>
      </c>
      <c r="BA75" s="10">
        <v>83</v>
      </c>
      <c r="BB75" s="38">
        <v>84</v>
      </c>
      <c r="BC75" s="10">
        <v>75</v>
      </c>
      <c r="BD75" s="38">
        <v>80</v>
      </c>
      <c r="BE75" s="10">
        <v>75</v>
      </c>
      <c r="BF75" s="38">
        <v>81</v>
      </c>
      <c r="BG75" s="10">
        <v>79</v>
      </c>
      <c r="BH75" s="10">
        <v>81</v>
      </c>
      <c r="BI75" s="8">
        <v>84</v>
      </c>
      <c r="BJ75" s="8">
        <v>84</v>
      </c>
      <c r="BK75" s="8">
        <v>81</v>
      </c>
      <c r="BL75" s="8">
        <v>81</v>
      </c>
      <c r="BM75" s="8">
        <v>80</v>
      </c>
      <c r="BN75" s="8">
        <v>83</v>
      </c>
      <c r="BO75" s="8">
        <v>81</v>
      </c>
      <c r="BP75" s="8">
        <v>87</v>
      </c>
      <c r="BQ75" s="49">
        <v>79</v>
      </c>
      <c r="BR75" s="8">
        <v>85</v>
      </c>
      <c r="BS75" s="8">
        <v>84</v>
      </c>
      <c r="BT75" s="8">
        <v>84</v>
      </c>
      <c r="BU75" s="8">
        <v>83</v>
      </c>
      <c r="BV75" s="41">
        <v>83</v>
      </c>
      <c r="BW75" s="8">
        <v>87</v>
      </c>
      <c r="BX75" s="8">
        <v>87</v>
      </c>
      <c r="BY75" s="8">
        <v>83</v>
      </c>
      <c r="BZ75" s="8">
        <v>87</v>
      </c>
      <c r="CA75" s="10">
        <v>80</v>
      </c>
      <c r="CB75" s="38">
        <v>82</v>
      </c>
      <c r="CC75" s="19" t="s">
        <v>1016</v>
      </c>
      <c r="CD75" s="19" t="s">
        <v>1079</v>
      </c>
      <c r="CE75" s="43" t="s">
        <v>1104</v>
      </c>
      <c r="CF75" s="19" t="s">
        <v>1000</v>
      </c>
      <c r="CJ75" s="19"/>
      <c r="CK75" s="4">
        <v>89</v>
      </c>
      <c r="CL75" s="4">
        <v>82.3333333333333</v>
      </c>
      <c r="CM75" s="4">
        <v>80</v>
      </c>
      <c r="CN75" s="4">
        <v>81</v>
      </c>
      <c r="CO75" s="35">
        <v>82</v>
      </c>
      <c r="CP75" s="35">
        <v>86.6666666666667</v>
      </c>
      <c r="CQ75" s="13">
        <f t="shared" si="21"/>
        <v>80.166666666666671</v>
      </c>
      <c r="CR75" s="13">
        <f t="shared" si="22"/>
        <v>81.833333333333329</v>
      </c>
      <c r="CS75" s="13">
        <f t="shared" si="23"/>
        <v>80.5</v>
      </c>
      <c r="CT75" s="13">
        <f t="shared" si="24"/>
        <v>81.666666666666671</v>
      </c>
      <c r="CU75" s="13">
        <f t="shared" si="25"/>
        <v>81.166666666666671</v>
      </c>
      <c r="CV75" s="13">
        <f t="shared" si="26"/>
        <v>82.5</v>
      </c>
      <c r="CW75" s="13">
        <f t="shared" si="27"/>
        <v>80.25</v>
      </c>
      <c r="CX75" s="13">
        <f t="shared" si="28"/>
        <v>81</v>
      </c>
      <c r="CY75" s="13">
        <f t="shared" si="29"/>
        <v>83.5</v>
      </c>
      <c r="CZ75" s="13">
        <f t="shared" si="30"/>
        <v>82.5</v>
      </c>
      <c r="DA75" s="13">
        <f t="shared" si="31"/>
        <v>80.5</v>
      </c>
      <c r="DB75" s="13">
        <f t="shared" si="32"/>
        <v>78</v>
      </c>
      <c r="DC75" s="13">
        <f t="shared" si="33"/>
        <v>80</v>
      </c>
      <c r="DD75" s="13">
        <f t="shared" si="34"/>
        <v>77.5</v>
      </c>
      <c r="DE75" s="13">
        <f t="shared" si="35"/>
        <v>82.5</v>
      </c>
      <c r="DF75" s="13">
        <f t="shared" si="36"/>
        <v>82.75</v>
      </c>
      <c r="DG75" s="13">
        <f t="shared" si="37"/>
        <v>83</v>
      </c>
      <c r="DH75" s="13">
        <f t="shared" si="38"/>
        <v>86</v>
      </c>
      <c r="DI75" s="13">
        <f t="shared" si="39"/>
        <v>83</v>
      </c>
      <c r="DJ75" s="13">
        <f t="shared" si="40"/>
        <v>81.5</v>
      </c>
      <c r="DK75" s="13">
        <f t="shared" si="41"/>
        <v>81.491666666666674</v>
      </c>
    </row>
    <row r="76" spans="1:115" s="4" customFormat="1" ht="20.100000000000001" customHeight="1">
      <c r="A76">
        <v>75</v>
      </c>
      <c r="B76" s="2">
        <f>'DATA US'!B89</f>
        <v>222310073</v>
      </c>
      <c r="C76" t="str">
        <f>'DATA US'!F89</f>
        <v>BEKASI</v>
      </c>
      <c r="D76" s="37" t="str">
        <f>'DATA US'!G89</f>
        <v>16 Juni 2007</v>
      </c>
      <c r="E76" s="2" t="str">
        <f>'DATA US'!C89</f>
        <v>0071000045</v>
      </c>
      <c r="F76" s="2" t="str">
        <f>'DATA US'!D89</f>
        <v>M. GILANG PRAYOGI</v>
      </c>
      <c r="G76" s="8">
        <v>85</v>
      </c>
      <c r="H76" s="38">
        <v>81</v>
      </c>
      <c r="I76" s="8">
        <v>83</v>
      </c>
      <c r="J76" s="8">
        <v>86</v>
      </c>
      <c r="K76" s="8">
        <v>84</v>
      </c>
      <c r="L76" s="8">
        <v>85</v>
      </c>
      <c r="M76" s="8">
        <v>82</v>
      </c>
      <c r="N76" s="38">
        <v>86</v>
      </c>
      <c r="O76" s="8">
        <v>84</v>
      </c>
      <c r="P76" s="8">
        <v>83</v>
      </c>
      <c r="Q76" s="8">
        <v>84</v>
      </c>
      <c r="R76" s="8">
        <v>85</v>
      </c>
      <c r="S76" s="8">
        <v>79</v>
      </c>
      <c r="T76" s="38">
        <v>82</v>
      </c>
      <c r="U76" s="8">
        <v>89</v>
      </c>
      <c r="V76" s="8">
        <v>88</v>
      </c>
      <c r="W76" s="8">
        <v>87</v>
      </c>
      <c r="X76" s="8">
        <v>88</v>
      </c>
      <c r="Y76" s="8">
        <v>78</v>
      </c>
      <c r="Z76" s="38">
        <v>81</v>
      </c>
      <c r="AA76" s="8">
        <v>79</v>
      </c>
      <c r="AB76" s="8">
        <v>80</v>
      </c>
      <c r="AC76" s="8">
        <v>85</v>
      </c>
      <c r="AD76" s="8">
        <v>88</v>
      </c>
      <c r="AE76" s="8">
        <v>78</v>
      </c>
      <c r="AF76" s="38">
        <v>81</v>
      </c>
      <c r="AG76" s="8">
        <v>82</v>
      </c>
      <c r="AH76" s="8">
        <v>85</v>
      </c>
      <c r="AI76" s="8">
        <v>88</v>
      </c>
      <c r="AJ76" s="8">
        <v>88</v>
      </c>
      <c r="AK76" s="10">
        <v>86</v>
      </c>
      <c r="AL76" s="10">
        <v>88</v>
      </c>
      <c r="AM76" s="12"/>
      <c r="AN76" s="12"/>
      <c r="AO76" s="12"/>
      <c r="AP76" s="2" t="s">
        <v>992</v>
      </c>
      <c r="AQ76" s="10">
        <v>83</v>
      </c>
      <c r="AR76" s="38">
        <v>86</v>
      </c>
      <c r="AS76" s="8">
        <v>80</v>
      </c>
      <c r="AT76" s="38">
        <v>81</v>
      </c>
      <c r="AU76" s="8">
        <v>86</v>
      </c>
      <c r="AV76" s="8">
        <v>86</v>
      </c>
      <c r="AW76" s="10">
        <v>81</v>
      </c>
      <c r="AX76" s="38">
        <v>85</v>
      </c>
      <c r="AY76" s="10">
        <v>84</v>
      </c>
      <c r="AZ76" s="38">
        <v>84</v>
      </c>
      <c r="BA76" s="10">
        <v>85</v>
      </c>
      <c r="BB76" s="38">
        <v>85</v>
      </c>
      <c r="BC76" s="10">
        <v>85</v>
      </c>
      <c r="BD76" s="38">
        <v>85</v>
      </c>
      <c r="BE76" s="10">
        <v>78</v>
      </c>
      <c r="BF76" s="38">
        <v>83</v>
      </c>
      <c r="BG76" s="10">
        <v>80</v>
      </c>
      <c r="BH76" s="10">
        <v>83</v>
      </c>
      <c r="BI76" s="8">
        <v>85</v>
      </c>
      <c r="BJ76" s="8">
        <v>86</v>
      </c>
      <c r="BK76" s="8">
        <v>81</v>
      </c>
      <c r="BL76" s="8">
        <v>86</v>
      </c>
      <c r="BM76" s="8">
        <v>83</v>
      </c>
      <c r="BN76" s="8">
        <v>85</v>
      </c>
      <c r="BO76" s="8">
        <v>88</v>
      </c>
      <c r="BP76" s="8">
        <v>90</v>
      </c>
      <c r="BQ76" s="8">
        <v>84</v>
      </c>
      <c r="BR76" s="8">
        <v>85</v>
      </c>
      <c r="BS76" s="8">
        <v>87</v>
      </c>
      <c r="BT76" s="8">
        <v>87</v>
      </c>
      <c r="BU76" s="8">
        <v>84</v>
      </c>
      <c r="BV76" s="41">
        <v>85</v>
      </c>
      <c r="BW76" s="8">
        <v>84</v>
      </c>
      <c r="BX76" s="8">
        <v>85</v>
      </c>
      <c r="BY76" s="8">
        <v>84</v>
      </c>
      <c r="BZ76" s="8">
        <v>85</v>
      </c>
      <c r="CA76" s="10">
        <v>82</v>
      </c>
      <c r="CB76" s="38">
        <v>86</v>
      </c>
      <c r="CC76" s="19" t="s">
        <v>1105</v>
      </c>
      <c r="CD76" s="19" t="s">
        <v>1106</v>
      </c>
      <c r="CE76" s="43" t="s">
        <v>1107</v>
      </c>
      <c r="CF76" s="19" t="s">
        <v>996</v>
      </c>
      <c r="CJ76" s="19"/>
      <c r="CK76" s="4">
        <v>89.3333333333333</v>
      </c>
      <c r="CL76" s="4">
        <v>85.3333333333333</v>
      </c>
      <c r="CM76" s="4">
        <v>93</v>
      </c>
      <c r="CN76" s="4">
        <v>83</v>
      </c>
      <c r="CO76" s="35">
        <v>82</v>
      </c>
      <c r="CP76" s="35">
        <v>88.9444444444445</v>
      </c>
      <c r="CQ76" s="13">
        <f t="shared" si="21"/>
        <v>84</v>
      </c>
      <c r="CR76" s="13">
        <f t="shared" si="22"/>
        <v>84</v>
      </c>
      <c r="CS76" s="13">
        <f t="shared" si="23"/>
        <v>81.833333333333329</v>
      </c>
      <c r="CT76" s="13">
        <f t="shared" si="24"/>
        <v>85.5</v>
      </c>
      <c r="CU76" s="13">
        <f t="shared" si="25"/>
        <v>83.666666666666671</v>
      </c>
      <c r="CV76" s="13">
        <f t="shared" si="26"/>
        <v>84.5</v>
      </c>
      <c r="CW76" s="13">
        <f t="shared" si="27"/>
        <v>83.25</v>
      </c>
      <c r="CX76" s="13">
        <f t="shared" si="28"/>
        <v>84</v>
      </c>
      <c r="CY76" s="13">
        <f t="shared" si="29"/>
        <v>85</v>
      </c>
      <c r="CZ76" s="13">
        <f t="shared" si="30"/>
        <v>84</v>
      </c>
      <c r="DA76" s="13">
        <f t="shared" si="31"/>
        <v>83</v>
      </c>
      <c r="DB76" s="13">
        <f t="shared" si="32"/>
        <v>80.5</v>
      </c>
      <c r="DC76" s="13">
        <f t="shared" si="33"/>
        <v>81.5</v>
      </c>
      <c r="DD76" s="13">
        <f t="shared" si="34"/>
        <v>85</v>
      </c>
      <c r="DE76" s="13">
        <f t="shared" si="35"/>
        <v>84.5</v>
      </c>
      <c r="DF76" s="13">
        <f t="shared" si="36"/>
        <v>86.5</v>
      </c>
      <c r="DG76" s="13">
        <f t="shared" si="37"/>
        <v>85.75</v>
      </c>
      <c r="DH76" s="13">
        <f t="shared" si="38"/>
        <v>84.5</v>
      </c>
      <c r="DI76" s="13">
        <f t="shared" si="39"/>
        <v>84.5</v>
      </c>
      <c r="DJ76" s="13">
        <f t="shared" si="40"/>
        <v>87</v>
      </c>
      <c r="DK76" s="13">
        <f t="shared" si="41"/>
        <v>84.125</v>
      </c>
    </row>
    <row r="77" spans="1:115" s="4" customFormat="1" ht="20.100000000000001" customHeight="1">
      <c r="A77">
        <v>76</v>
      </c>
      <c r="B77" s="2">
        <f>'DATA US'!B90</f>
        <v>222310075</v>
      </c>
      <c r="C77" t="str">
        <f>'DATA US'!F90</f>
        <v>BEKASI</v>
      </c>
      <c r="D77" s="37" t="str">
        <f>'DATA US'!G90</f>
        <v>04 November 2006</v>
      </c>
      <c r="E77" s="2" t="str">
        <f>'DATA US'!C90</f>
        <v>0061028869</v>
      </c>
      <c r="F77" s="2" t="str">
        <f>'DATA US'!D90</f>
        <v>MUHAMMAD YUSUF MAULANA</v>
      </c>
      <c r="G77" s="8">
        <v>84</v>
      </c>
      <c r="H77" s="38">
        <v>84</v>
      </c>
      <c r="I77" s="8">
        <v>85</v>
      </c>
      <c r="J77" s="8">
        <v>85</v>
      </c>
      <c r="K77" s="8">
        <v>85</v>
      </c>
      <c r="L77" s="8">
        <v>86</v>
      </c>
      <c r="M77" s="8">
        <v>85</v>
      </c>
      <c r="N77" s="38">
        <v>86</v>
      </c>
      <c r="O77" s="8">
        <v>85</v>
      </c>
      <c r="P77" s="8">
        <v>83</v>
      </c>
      <c r="Q77" s="8">
        <v>85</v>
      </c>
      <c r="R77" s="8">
        <v>86</v>
      </c>
      <c r="S77" s="39">
        <v>79</v>
      </c>
      <c r="T77" s="38">
        <v>80</v>
      </c>
      <c r="U77" s="8">
        <v>88</v>
      </c>
      <c r="V77" s="8">
        <v>88</v>
      </c>
      <c r="W77" s="8">
        <v>88</v>
      </c>
      <c r="X77" s="8">
        <v>89</v>
      </c>
      <c r="Y77" s="39">
        <v>75</v>
      </c>
      <c r="Z77" s="38">
        <v>75</v>
      </c>
      <c r="AA77" s="8">
        <v>79</v>
      </c>
      <c r="AB77" s="8">
        <v>80</v>
      </c>
      <c r="AC77" s="8">
        <v>86</v>
      </c>
      <c r="AD77" s="8">
        <v>85</v>
      </c>
      <c r="AE77" s="39">
        <v>78</v>
      </c>
      <c r="AF77" s="38">
        <v>79</v>
      </c>
      <c r="AG77" s="8">
        <v>82</v>
      </c>
      <c r="AH77" s="8">
        <v>83</v>
      </c>
      <c r="AI77" s="8">
        <v>86</v>
      </c>
      <c r="AJ77" s="8">
        <v>90</v>
      </c>
      <c r="AK77" s="39">
        <v>87</v>
      </c>
      <c r="AL77" s="10">
        <v>89</v>
      </c>
      <c r="AM77" s="12"/>
      <c r="AN77" s="12"/>
      <c r="AO77" s="12"/>
      <c r="AP77" s="2" t="s">
        <v>992</v>
      </c>
      <c r="AQ77" s="39">
        <v>83</v>
      </c>
      <c r="AR77" s="38">
        <v>90</v>
      </c>
      <c r="AS77" s="39">
        <v>80</v>
      </c>
      <c r="AT77" s="38">
        <v>81</v>
      </c>
      <c r="AU77" s="8">
        <v>87</v>
      </c>
      <c r="AV77" s="8">
        <v>85</v>
      </c>
      <c r="AW77" s="39">
        <v>80</v>
      </c>
      <c r="AX77" s="38">
        <v>84</v>
      </c>
      <c r="AY77" s="39">
        <v>83</v>
      </c>
      <c r="AZ77" s="38">
        <v>83</v>
      </c>
      <c r="BA77" s="39">
        <v>85</v>
      </c>
      <c r="BB77" s="38">
        <v>85</v>
      </c>
      <c r="BC77" s="39">
        <v>85</v>
      </c>
      <c r="BD77" s="38">
        <v>84</v>
      </c>
      <c r="BE77" s="39">
        <v>86</v>
      </c>
      <c r="BF77" s="38">
        <v>84</v>
      </c>
      <c r="BG77" s="39">
        <v>80</v>
      </c>
      <c r="BH77" s="10">
        <v>82</v>
      </c>
      <c r="BI77" s="8">
        <v>85</v>
      </c>
      <c r="BJ77" s="8">
        <v>86</v>
      </c>
      <c r="BK77" s="8">
        <v>82</v>
      </c>
      <c r="BL77" s="8">
        <v>86</v>
      </c>
      <c r="BM77" s="8">
        <v>84</v>
      </c>
      <c r="BN77" s="8">
        <v>86</v>
      </c>
      <c r="BO77" s="8">
        <v>88</v>
      </c>
      <c r="BP77" s="8">
        <v>92</v>
      </c>
      <c r="BQ77" s="8">
        <v>84</v>
      </c>
      <c r="BR77" s="8">
        <v>88</v>
      </c>
      <c r="BS77" s="8">
        <v>88</v>
      </c>
      <c r="BT77" s="8">
        <v>88</v>
      </c>
      <c r="BU77" s="8">
        <v>85</v>
      </c>
      <c r="BV77" s="41">
        <v>85</v>
      </c>
      <c r="BW77" s="8">
        <v>85</v>
      </c>
      <c r="BX77" s="8">
        <v>88</v>
      </c>
      <c r="BY77" s="8">
        <v>85</v>
      </c>
      <c r="BZ77" s="8">
        <v>88</v>
      </c>
      <c r="CA77" s="39">
        <v>84</v>
      </c>
      <c r="CB77" s="38">
        <v>90</v>
      </c>
      <c r="CC77" s="19" t="s">
        <v>1023</v>
      </c>
      <c r="CD77" s="19" t="s">
        <v>1024</v>
      </c>
      <c r="CE77" s="43" t="s">
        <v>1108</v>
      </c>
      <c r="CF77" s="19" t="s">
        <v>996</v>
      </c>
      <c r="CJ77" s="19"/>
      <c r="CK77" s="4">
        <v>89.6666666666667</v>
      </c>
      <c r="CL77" s="4">
        <v>85.3333333333333</v>
      </c>
      <c r="CM77" s="4">
        <v>80</v>
      </c>
      <c r="CN77" s="4">
        <v>81</v>
      </c>
      <c r="CO77" s="35">
        <v>82</v>
      </c>
      <c r="CP77" s="35">
        <v>84.6944444444445</v>
      </c>
      <c r="CQ77" s="13">
        <f t="shared" si="21"/>
        <v>84.833333333333329</v>
      </c>
      <c r="CR77" s="13">
        <f t="shared" si="22"/>
        <v>85</v>
      </c>
      <c r="CS77" s="13">
        <f t="shared" si="23"/>
        <v>80</v>
      </c>
      <c r="CT77" s="13">
        <f t="shared" si="24"/>
        <v>85.333333333333329</v>
      </c>
      <c r="CU77" s="13">
        <f t="shared" si="25"/>
        <v>83</v>
      </c>
      <c r="CV77" s="13">
        <f t="shared" si="26"/>
        <v>86.5</v>
      </c>
      <c r="CW77" s="13">
        <f t="shared" si="27"/>
        <v>83.25</v>
      </c>
      <c r="CX77" s="13">
        <f t="shared" si="28"/>
        <v>87</v>
      </c>
      <c r="CY77" s="13">
        <f t="shared" si="29"/>
        <v>85</v>
      </c>
      <c r="CZ77" s="13">
        <f t="shared" si="30"/>
        <v>83</v>
      </c>
      <c r="DA77" s="13">
        <f t="shared" si="31"/>
        <v>82</v>
      </c>
      <c r="DB77" s="13">
        <f t="shared" si="32"/>
        <v>85</v>
      </c>
      <c r="DC77" s="13">
        <f t="shared" si="33"/>
        <v>81</v>
      </c>
      <c r="DD77" s="13">
        <f t="shared" si="34"/>
        <v>84.5</v>
      </c>
      <c r="DE77" s="13">
        <f t="shared" si="35"/>
        <v>84.75</v>
      </c>
      <c r="DF77" s="13">
        <f t="shared" si="36"/>
        <v>87.5</v>
      </c>
      <c r="DG77" s="13">
        <f t="shared" si="37"/>
        <v>87</v>
      </c>
      <c r="DH77" s="13">
        <f t="shared" si="38"/>
        <v>86.5</v>
      </c>
      <c r="DI77" s="13">
        <f t="shared" si="39"/>
        <v>85</v>
      </c>
      <c r="DJ77" s="13">
        <f t="shared" si="40"/>
        <v>88</v>
      </c>
      <c r="DK77" s="13">
        <f t="shared" si="41"/>
        <v>84.708333333333329</v>
      </c>
    </row>
    <row r="78" spans="1:115" s="4" customFormat="1" ht="20.100000000000001" customHeight="1">
      <c r="A78">
        <v>77</v>
      </c>
      <c r="B78" s="2">
        <f>'DATA US'!B91</f>
        <v>222310076</v>
      </c>
      <c r="C78" t="str">
        <f>'DATA US'!F91</f>
        <v>TASIKMALAYA</v>
      </c>
      <c r="D78" s="37" t="str">
        <f>'DATA US'!G91</f>
        <v>1 Maret 2006</v>
      </c>
      <c r="E78" s="2" t="str">
        <f>'DATA US'!C91</f>
        <v>0066062643</v>
      </c>
      <c r="F78" s="2" t="str">
        <f>'DATA US'!D91</f>
        <v>RIFKI ARDIANSYAH</v>
      </c>
      <c r="G78" s="8">
        <v>83</v>
      </c>
      <c r="H78" s="38">
        <v>80</v>
      </c>
      <c r="I78" s="8">
        <v>84</v>
      </c>
      <c r="J78" s="8">
        <v>85</v>
      </c>
      <c r="K78" s="8">
        <v>84</v>
      </c>
      <c r="L78" s="8">
        <v>85</v>
      </c>
      <c r="M78" s="8">
        <v>85</v>
      </c>
      <c r="N78" s="38">
        <v>86</v>
      </c>
      <c r="O78" s="8">
        <v>84</v>
      </c>
      <c r="P78" s="8">
        <v>85</v>
      </c>
      <c r="Q78" s="8">
        <v>85</v>
      </c>
      <c r="R78" s="8">
        <v>86</v>
      </c>
      <c r="S78" s="39">
        <v>84</v>
      </c>
      <c r="T78" s="38">
        <v>83</v>
      </c>
      <c r="U78" s="8">
        <v>89</v>
      </c>
      <c r="V78" s="8">
        <v>88</v>
      </c>
      <c r="W78" s="8">
        <v>88</v>
      </c>
      <c r="X78" s="8">
        <v>89</v>
      </c>
      <c r="Y78" s="39">
        <v>75</v>
      </c>
      <c r="Z78" s="38">
        <v>76</v>
      </c>
      <c r="AA78" s="8">
        <v>86</v>
      </c>
      <c r="AB78" s="8">
        <v>79</v>
      </c>
      <c r="AC78" s="8">
        <v>83</v>
      </c>
      <c r="AD78" s="8">
        <v>88</v>
      </c>
      <c r="AE78" s="39">
        <v>80</v>
      </c>
      <c r="AF78" s="38">
        <v>77</v>
      </c>
      <c r="AG78" s="8">
        <v>83</v>
      </c>
      <c r="AH78" s="8">
        <v>85</v>
      </c>
      <c r="AI78" s="8">
        <v>85</v>
      </c>
      <c r="AJ78" s="8">
        <v>90</v>
      </c>
      <c r="AK78" s="39">
        <v>88</v>
      </c>
      <c r="AL78" s="10">
        <v>88</v>
      </c>
      <c r="AM78" s="12"/>
      <c r="AN78" s="12"/>
      <c r="AO78" s="12"/>
      <c r="AP78" s="2" t="s">
        <v>992</v>
      </c>
      <c r="AQ78" s="39">
        <v>82</v>
      </c>
      <c r="AR78" s="38">
        <v>90</v>
      </c>
      <c r="AS78" s="39">
        <v>80</v>
      </c>
      <c r="AT78" s="38">
        <v>81</v>
      </c>
      <c r="AU78" s="8">
        <v>86</v>
      </c>
      <c r="AV78" s="8">
        <v>85</v>
      </c>
      <c r="AW78" s="39">
        <v>82</v>
      </c>
      <c r="AX78" s="38">
        <v>82</v>
      </c>
      <c r="AY78" s="39">
        <v>83</v>
      </c>
      <c r="AZ78" s="38">
        <v>85</v>
      </c>
      <c r="BA78" s="39">
        <v>85</v>
      </c>
      <c r="BB78" s="38">
        <v>85</v>
      </c>
      <c r="BC78" s="39">
        <v>86</v>
      </c>
      <c r="BD78" s="38">
        <v>88</v>
      </c>
      <c r="BE78" s="39">
        <v>84</v>
      </c>
      <c r="BF78" s="38">
        <v>84</v>
      </c>
      <c r="BG78" s="39">
        <v>81</v>
      </c>
      <c r="BH78" s="10">
        <v>83</v>
      </c>
      <c r="BI78" s="8">
        <v>83</v>
      </c>
      <c r="BJ78" s="8">
        <v>84</v>
      </c>
      <c r="BK78" s="8">
        <v>81</v>
      </c>
      <c r="BL78" s="8">
        <v>86</v>
      </c>
      <c r="BM78" s="8">
        <v>87</v>
      </c>
      <c r="BN78" s="8">
        <v>82</v>
      </c>
      <c r="BO78" s="8">
        <v>88</v>
      </c>
      <c r="BP78" s="8">
        <v>94</v>
      </c>
      <c r="BQ78" s="8">
        <v>84</v>
      </c>
      <c r="BR78" s="8">
        <v>87</v>
      </c>
      <c r="BS78" s="8">
        <v>88</v>
      </c>
      <c r="BT78" s="8">
        <v>88</v>
      </c>
      <c r="BU78" s="8">
        <v>84</v>
      </c>
      <c r="BV78" s="41">
        <v>84</v>
      </c>
      <c r="BW78" s="8">
        <v>82</v>
      </c>
      <c r="BX78" s="8">
        <v>86</v>
      </c>
      <c r="BY78" s="8">
        <v>85</v>
      </c>
      <c r="BZ78" s="8">
        <v>86</v>
      </c>
      <c r="CA78" s="39">
        <v>83</v>
      </c>
      <c r="CB78" s="38">
        <v>90</v>
      </c>
      <c r="CC78" s="19" t="s">
        <v>1090</v>
      </c>
      <c r="CD78" s="19" t="s">
        <v>1091</v>
      </c>
      <c r="CE78" s="43" t="s">
        <v>1109</v>
      </c>
      <c r="CF78" s="19" t="s">
        <v>1000</v>
      </c>
      <c r="CJ78" s="19"/>
      <c r="CK78" s="4">
        <v>89.3333333333333</v>
      </c>
      <c r="CL78" s="4">
        <v>85.6666666666667</v>
      </c>
      <c r="CM78" s="4">
        <v>87</v>
      </c>
      <c r="CN78" s="4">
        <v>89</v>
      </c>
      <c r="CO78" s="35">
        <v>82</v>
      </c>
      <c r="CP78" s="35">
        <v>88</v>
      </c>
      <c r="CQ78" s="13">
        <f t="shared" si="21"/>
        <v>83.5</v>
      </c>
      <c r="CR78" s="13">
        <f t="shared" si="22"/>
        <v>85.166666666666671</v>
      </c>
      <c r="CS78" s="13">
        <f t="shared" si="23"/>
        <v>81.166666666666671</v>
      </c>
      <c r="CT78" s="13">
        <f t="shared" si="24"/>
        <v>86.833333333333329</v>
      </c>
      <c r="CU78" s="13">
        <f t="shared" si="25"/>
        <v>83.333333333333329</v>
      </c>
      <c r="CV78" s="13">
        <f t="shared" si="26"/>
        <v>86</v>
      </c>
      <c r="CW78" s="13">
        <f t="shared" si="27"/>
        <v>83</v>
      </c>
      <c r="CX78" s="13">
        <f t="shared" si="28"/>
        <v>86.5</v>
      </c>
      <c r="CY78" s="13">
        <f t="shared" si="29"/>
        <v>85</v>
      </c>
      <c r="CZ78" s="13">
        <f t="shared" si="30"/>
        <v>84</v>
      </c>
      <c r="DA78" s="13">
        <f t="shared" si="31"/>
        <v>82</v>
      </c>
      <c r="DB78" s="13">
        <f t="shared" si="32"/>
        <v>84</v>
      </c>
      <c r="DC78" s="13">
        <f t="shared" si="33"/>
        <v>82</v>
      </c>
      <c r="DD78" s="13">
        <f t="shared" si="34"/>
        <v>87</v>
      </c>
      <c r="DE78" s="13">
        <f t="shared" si="35"/>
        <v>83.5</v>
      </c>
      <c r="DF78" s="13">
        <f t="shared" si="36"/>
        <v>87.75</v>
      </c>
      <c r="DG78" s="13">
        <f t="shared" si="37"/>
        <v>86.75</v>
      </c>
      <c r="DH78" s="13">
        <f t="shared" si="38"/>
        <v>84.75</v>
      </c>
      <c r="DI78" s="13">
        <f t="shared" si="39"/>
        <v>84</v>
      </c>
      <c r="DJ78" s="13">
        <f t="shared" si="40"/>
        <v>88</v>
      </c>
      <c r="DK78" s="13">
        <f t="shared" si="41"/>
        <v>84.712500000000006</v>
      </c>
    </row>
    <row r="79" spans="1:115" s="4" customFormat="1" ht="20.100000000000001" customHeight="1">
      <c r="A79">
        <v>78</v>
      </c>
      <c r="B79" s="2">
        <f>'DATA US'!B92</f>
        <v>222310140</v>
      </c>
      <c r="C79" t="str">
        <f>'DATA US'!F92</f>
        <v>BEKASI</v>
      </c>
      <c r="D79" s="37" t="str">
        <f>'DATA US'!G92</f>
        <v>18 Januari 2006</v>
      </c>
      <c r="E79" s="2" t="str">
        <f>'DATA US'!C92</f>
        <v>0067092691</v>
      </c>
      <c r="F79" s="2" t="str">
        <f>'DATA US'!D92</f>
        <v>SAIPUL BAHRI</v>
      </c>
      <c r="G79" s="38">
        <v>75</v>
      </c>
      <c r="H79" s="38">
        <v>76</v>
      </c>
      <c r="I79" s="8">
        <v>79</v>
      </c>
      <c r="J79" s="8">
        <v>78</v>
      </c>
      <c r="K79" s="48">
        <v>80</v>
      </c>
      <c r="L79" s="48">
        <v>80</v>
      </c>
      <c r="M79" s="8">
        <v>75</v>
      </c>
      <c r="N79" s="38">
        <v>79</v>
      </c>
      <c r="O79" s="8">
        <v>80</v>
      </c>
      <c r="P79" s="8">
        <v>80</v>
      </c>
      <c r="Q79" s="8">
        <v>82</v>
      </c>
      <c r="R79" s="8">
        <v>84</v>
      </c>
      <c r="S79" s="39">
        <v>78</v>
      </c>
      <c r="T79" s="38">
        <v>76</v>
      </c>
      <c r="U79" s="49">
        <v>79</v>
      </c>
      <c r="V79" s="8">
        <v>81</v>
      </c>
      <c r="W79" s="8">
        <v>80</v>
      </c>
      <c r="X79" s="8">
        <v>83</v>
      </c>
      <c r="Y79" s="39">
        <v>75</v>
      </c>
      <c r="Z79" s="38">
        <v>75</v>
      </c>
      <c r="AA79" s="8">
        <v>78</v>
      </c>
      <c r="AB79" s="8">
        <v>78</v>
      </c>
      <c r="AC79" s="8">
        <v>83</v>
      </c>
      <c r="AD79" s="8">
        <v>88</v>
      </c>
      <c r="AE79" s="39">
        <v>75</v>
      </c>
      <c r="AF79" s="38">
        <v>77</v>
      </c>
      <c r="AG79" s="8">
        <v>79</v>
      </c>
      <c r="AH79" s="8">
        <v>81</v>
      </c>
      <c r="AI79" s="8">
        <v>82</v>
      </c>
      <c r="AJ79" s="8">
        <v>85</v>
      </c>
      <c r="AK79" s="39">
        <v>77</v>
      </c>
      <c r="AL79" s="10">
        <v>79</v>
      </c>
      <c r="AM79" s="12"/>
      <c r="AN79" s="12"/>
      <c r="AO79" s="12"/>
      <c r="AP79" s="2" t="s">
        <v>992</v>
      </c>
      <c r="AQ79" s="39">
        <v>79</v>
      </c>
      <c r="AR79" s="38">
        <v>81</v>
      </c>
      <c r="AS79" s="39">
        <v>78</v>
      </c>
      <c r="AT79" s="38">
        <v>81</v>
      </c>
      <c r="AU79" s="8">
        <v>80</v>
      </c>
      <c r="AV79" s="8">
        <v>79</v>
      </c>
      <c r="AW79" s="39">
        <v>75</v>
      </c>
      <c r="AX79" s="38">
        <v>83</v>
      </c>
      <c r="AY79" s="39">
        <v>79</v>
      </c>
      <c r="AZ79" s="38">
        <v>82</v>
      </c>
      <c r="BA79" s="39">
        <v>79</v>
      </c>
      <c r="BB79" s="38">
        <v>83</v>
      </c>
      <c r="BC79" s="39">
        <v>75</v>
      </c>
      <c r="BD79" s="38">
        <v>77</v>
      </c>
      <c r="BE79" s="39">
        <v>75</v>
      </c>
      <c r="BF79" s="38">
        <v>81</v>
      </c>
      <c r="BG79" s="39">
        <v>75</v>
      </c>
      <c r="BH79" s="8">
        <v>76</v>
      </c>
      <c r="BI79" s="8">
        <v>82</v>
      </c>
      <c r="BJ79" s="8">
        <v>82</v>
      </c>
      <c r="BK79" s="8">
        <v>81</v>
      </c>
      <c r="BL79" s="8">
        <v>81</v>
      </c>
      <c r="BM79" s="49">
        <v>79</v>
      </c>
      <c r="BN79" s="8">
        <v>80</v>
      </c>
      <c r="BO79" s="48">
        <v>80</v>
      </c>
      <c r="BP79" s="48">
        <v>84</v>
      </c>
      <c r="BQ79" s="49">
        <v>79</v>
      </c>
      <c r="BR79" s="8">
        <v>78</v>
      </c>
      <c r="BS79" s="48">
        <v>80</v>
      </c>
      <c r="BT79" s="48">
        <v>80</v>
      </c>
      <c r="BU79" s="8">
        <v>80</v>
      </c>
      <c r="BV79" s="41">
        <v>80</v>
      </c>
      <c r="BW79" s="8">
        <v>80</v>
      </c>
      <c r="BX79" s="8">
        <v>83</v>
      </c>
      <c r="BY79" s="8">
        <v>84</v>
      </c>
      <c r="BZ79" s="8">
        <v>84</v>
      </c>
      <c r="CA79" s="39">
        <v>75</v>
      </c>
      <c r="CB79" s="38">
        <v>81</v>
      </c>
      <c r="CC79" s="19" t="s">
        <v>1001</v>
      </c>
      <c r="CD79" s="44" t="s">
        <v>1036</v>
      </c>
      <c r="CE79" s="43" t="s">
        <v>1110</v>
      </c>
      <c r="CF79" s="19" t="s">
        <v>996</v>
      </c>
      <c r="CJ79" s="19"/>
      <c r="CK79" s="4">
        <v>89</v>
      </c>
      <c r="CL79" s="4">
        <v>83</v>
      </c>
      <c r="CM79" s="4">
        <v>81</v>
      </c>
      <c r="CN79" s="4">
        <v>88</v>
      </c>
      <c r="CO79" s="35">
        <v>83</v>
      </c>
      <c r="CP79" s="35">
        <v>86.1666666666667</v>
      </c>
      <c r="CQ79" s="13">
        <f t="shared" si="21"/>
        <v>78</v>
      </c>
      <c r="CR79" s="13">
        <f t="shared" si="22"/>
        <v>80</v>
      </c>
      <c r="CS79" s="13">
        <f t="shared" si="23"/>
        <v>79.5</v>
      </c>
      <c r="CT79" s="13">
        <f t="shared" si="24"/>
        <v>79.5</v>
      </c>
      <c r="CU79" s="13">
        <f t="shared" si="25"/>
        <v>79.833333333333329</v>
      </c>
      <c r="CV79" s="13">
        <f t="shared" si="26"/>
        <v>80</v>
      </c>
      <c r="CW79" s="13">
        <f t="shared" si="27"/>
        <v>79.5</v>
      </c>
      <c r="CX79" s="13">
        <f t="shared" si="28"/>
        <v>78</v>
      </c>
      <c r="CY79" s="13">
        <f t="shared" si="29"/>
        <v>81</v>
      </c>
      <c r="CZ79" s="13">
        <f t="shared" si="30"/>
        <v>80.5</v>
      </c>
      <c r="DA79" s="13">
        <f t="shared" si="31"/>
        <v>79</v>
      </c>
      <c r="DB79" s="13">
        <f t="shared" si="32"/>
        <v>78</v>
      </c>
      <c r="DC79" s="13">
        <f t="shared" si="33"/>
        <v>75.5</v>
      </c>
      <c r="DD79" s="13">
        <f t="shared" si="34"/>
        <v>76</v>
      </c>
      <c r="DE79" s="13">
        <f t="shared" si="35"/>
        <v>81.5</v>
      </c>
      <c r="DF79" s="13">
        <f t="shared" si="36"/>
        <v>80.75</v>
      </c>
      <c r="DG79" s="13">
        <f t="shared" si="37"/>
        <v>79.25</v>
      </c>
      <c r="DH79" s="13">
        <f t="shared" si="38"/>
        <v>82.75</v>
      </c>
      <c r="DI79" s="13">
        <f t="shared" si="39"/>
        <v>80</v>
      </c>
      <c r="DJ79" s="13">
        <f t="shared" si="40"/>
        <v>78</v>
      </c>
      <c r="DK79" s="13">
        <f t="shared" si="41"/>
        <v>79.329166666666666</v>
      </c>
    </row>
    <row r="80" spans="1:115" s="4" customFormat="1" ht="20.100000000000001" customHeight="1">
      <c r="A80">
        <v>79</v>
      </c>
      <c r="B80" s="2">
        <f>'DATA US'!B93</f>
        <v>222310077</v>
      </c>
      <c r="C80" t="str">
        <f>'DATA US'!F93</f>
        <v>BEKASI</v>
      </c>
      <c r="D80" s="37" t="str">
        <f>'DATA US'!G93</f>
        <v>10 Oktober 2006</v>
      </c>
      <c r="E80" s="2" t="str">
        <f>'DATA US'!C93</f>
        <v>0068846668</v>
      </c>
      <c r="F80" s="2" t="str">
        <f>'DATA US'!D93</f>
        <v>SAPRUDIN SANJAYA</v>
      </c>
      <c r="G80" s="8">
        <v>79</v>
      </c>
      <c r="H80" s="38">
        <v>78</v>
      </c>
      <c r="I80" s="8">
        <v>84</v>
      </c>
      <c r="J80" s="8">
        <v>84</v>
      </c>
      <c r="K80" s="8">
        <v>84</v>
      </c>
      <c r="L80" s="8">
        <v>85</v>
      </c>
      <c r="M80" s="8">
        <v>83</v>
      </c>
      <c r="N80" s="38">
        <v>82</v>
      </c>
      <c r="O80" s="8">
        <v>81</v>
      </c>
      <c r="P80" s="8">
        <v>82</v>
      </c>
      <c r="Q80" s="8">
        <v>84</v>
      </c>
      <c r="R80" s="8">
        <v>85</v>
      </c>
      <c r="S80" s="8">
        <v>80</v>
      </c>
      <c r="T80" s="38">
        <v>81</v>
      </c>
      <c r="U80" s="8">
        <v>87</v>
      </c>
      <c r="V80" s="8">
        <v>87</v>
      </c>
      <c r="W80" s="8">
        <v>87</v>
      </c>
      <c r="X80" s="8">
        <v>88</v>
      </c>
      <c r="Y80" s="39">
        <v>76</v>
      </c>
      <c r="Z80" s="38">
        <v>76</v>
      </c>
      <c r="AA80" s="8">
        <v>78</v>
      </c>
      <c r="AB80" s="8">
        <v>78</v>
      </c>
      <c r="AC80" s="8">
        <v>83</v>
      </c>
      <c r="AD80" s="8">
        <v>86</v>
      </c>
      <c r="AE80" s="39">
        <v>78</v>
      </c>
      <c r="AF80" s="38">
        <v>81</v>
      </c>
      <c r="AG80" s="8">
        <v>82</v>
      </c>
      <c r="AH80" s="8">
        <v>84</v>
      </c>
      <c r="AI80" s="8">
        <v>87</v>
      </c>
      <c r="AJ80" s="8">
        <v>86</v>
      </c>
      <c r="AK80" s="10">
        <v>86</v>
      </c>
      <c r="AL80" s="10">
        <v>87</v>
      </c>
      <c r="AM80" s="12"/>
      <c r="AN80" s="12"/>
      <c r="AO80" s="12"/>
      <c r="AP80" s="2" t="s">
        <v>992</v>
      </c>
      <c r="AQ80" s="39">
        <v>83</v>
      </c>
      <c r="AR80" s="38">
        <v>84</v>
      </c>
      <c r="AS80" s="39">
        <v>79</v>
      </c>
      <c r="AT80" s="38">
        <v>81</v>
      </c>
      <c r="AU80" s="8">
        <v>84</v>
      </c>
      <c r="AV80" s="8">
        <v>84</v>
      </c>
      <c r="AW80" s="39">
        <v>80</v>
      </c>
      <c r="AX80" s="38">
        <v>80</v>
      </c>
      <c r="AY80" s="39">
        <v>83</v>
      </c>
      <c r="AZ80" s="38">
        <v>83</v>
      </c>
      <c r="BA80" s="39">
        <v>84</v>
      </c>
      <c r="BB80" s="38">
        <v>84</v>
      </c>
      <c r="BC80" s="39">
        <v>82</v>
      </c>
      <c r="BD80" s="38">
        <v>83</v>
      </c>
      <c r="BE80" s="39">
        <v>78</v>
      </c>
      <c r="BF80" s="38">
        <v>82</v>
      </c>
      <c r="BG80" s="39">
        <v>81</v>
      </c>
      <c r="BH80" s="10">
        <v>83</v>
      </c>
      <c r="BI80" s="8">
        <v>84</v>
      </c>
      <c r="BJ80" s="8">
        <v>86</v>
      </c>
      <c r="BK80" s="8">
        <v>81</v>
      </c>
      <c r="BL80" s="8">
        <v>85</v>
      </c>
      <c r="BM80" s="8">
        <v>83</v>
      </c>
      <c r="BN80" s="8">
        <v>85</v>
      </c>
      <c r="BO80" s="8">
        <v>86</v>
      </c>
      <c r="BP80" s="8">
        <v>89</v>
      </c>
      <c r="BQ80" s="8">
        <v>83</v>
      </c>
      <c r="BR80" s="8">
        <v>84</v>
      </c>
      <c r="BS80" s="8">
        <v>87</v>
      </c>
      <c r="BT80" s="8">
        <v>87</v>
      </c>
      <c r="BU80" s="8">
        <v>84</v>
      </c>
      <c r="BV80" s="41">
        <v>86</v>
      </c>
      <c r="BW80" s="8">
        <v>82</v>
      </c>
      <c r="BX80" s="8">
        <v>86</v>
      </c>
      <c r="BY80" s="8">
        <v>84</v>
      </c>
      <c r="BZ80" s="8">
        <v>86</v>
      </c>
      <c r="CA80" s="39">
        <v>82</v>
      </c>
      <c r="CB80" s="38">
        <v>84</v>
      </c>
      <c r="CC80" s="19" t="s">
        <v>993</v>
      </c>
      <c r="CD80" s="19" t="s">
        <v>994</v>
      </c>
      <c r="CE80" s="43" t="s">
        <v>1111</v>
      </c>
      <c r="CF80" s="19" t="s">
        <v>996</v>
      </c>
      <c r="CJ80" s="19"/>
      <c r="CK80" s="4">
        <v>90.6666666666667</v>
      </c>
      <c r="CL80" s="4">
        <v>84.3333333333333</v>
      </c>
      <c r="CM80" s="4">
        <v>83</v>
      </c>
      <c r="CN80" s="4">
        <v>86</v>
      </c>
      <c r="CO80" s="35">
        <v>82</v>
      </c>
      <c r="CP80" s="35">
        <v>87.5833333333333</v>
      </c>
      <c r="CQ80" s="13">
        <f t="shared" si="21"/>
        <v>82.333333333333329</v>
      </c>
      <c r="CR80" s="13">
        <f t="shared" si="22"/>
        <v>82.833333333333329</v>
      </c>
      <c r="CS80" s="13">
        <f t="shared" si="23"/>
        <v>79.5</v>
      </c>
      <c r="CT80" s="13">
        <f t="shared" si="24"/>
        <v>85</v>
      </c>
      <c r="CU80" s="13">
        <f t="shared" si="25"/>
        <v>83</v>
      </c>
      <c r="CV80" s="13">
        <f t="shared" si="26"/>
        <v>83.5</v>
      </c>
      <c r="CW80" s="13">
        <f t="shared" si="27"/>
        <v>82</v>
      </c>
      <c r="CX80" s="13">
        <f t="shared" si="28"/>
        <v>83</v>
      </c>
      <c r="CY80" s="13">
        <f t="shared" si="29"/>
        <v>84</v>
      </c>
      <c r="CZ80" s="13">
        <f t="shared" si="30"/>
        <v>83</v>
      </c>
      <c r="DA80" s="13">
        <f t="shared" si="31"/>
        <v>80</v>
      </c>
      <c r="DB80" s="13">
        <f t="shared" si="32"/>
        <v>80</v>
      </c>
      <c r="DC80" s="13">
        <f t="shared" si="33"/>
        <v>82</v>
      </c>
      <c r="DD80" s="13">
        <f t="shared" si="34"/>
        <v>82.5</v>
      </c>
      <c r="DE80" s="13">
        <f t="shared" si="35"/>
        <v>84</v>
      </c>
      <c r="DF80" s="13">
        <f t="shared" si="36"/>
        <v>85.75</v>
      </c>
      <c r="DG80" s="13">
        <f t="shared" si="37"/>
        <v>85.25</v>
      </c>
      <c r="DH80" s="13">
        <f t="shared" si="38"/>
        <v>84.5</v>
      </c>
      <c r="DI80" s="13">
        <f t="shared" si="39"/>
        <v>85</v>
      </c>
      <c r="DJ80" s="13">
        <f t="shared" si="40"/>
        <v>86.5</v>
      </c>
      <c r="DK80" s="13">
        <f t="shared" si="41"/>
        <v>83.183333333333323</v>
      </c>
    </row>
    <row r="81" spans="1:115" s="4" customFormat="1" ht="20.100000000000001" customHeight="1">
      <c r="A81">
        <v>80</v>
      </c>
      <c r="B81" s="2">
        <f>'DATA US'!B94</f>
        <v>222310078</v>
      </c>
      <c r="C81" t="str">
        <f>'DATA US'!F94</f>
        <v>BEKASI</v>
      </c>
      <c r="D81" s="37" t="str">
        <f>'DATA US'!G94</f>
        <v>25 April 2007</v>
      </c>
      <c r="E81" s="2" t="str">
        <f>'DATA US'!C94</f>
        <v>0074692256</v>
      </c>
      <c r="F81" s="2" t="str">
        <f>'DATA US'!D94</f>
        <v>WARNO DINATA</v>
      </c>
      <c r="G81" s="8">
        <v>80</v>
      </c>
      <c r="H81" s="38">
        <v>78</v>
      </c>
      <c r="I81" s="8">
        <v>82</v>
      </c>
      <c r="J81" s="8">
        <v>83</v>
      </c>
      <c r="K81" s="8">
        <v>83</v>
      </c>
      <c r="L81" s="8">
        <v>84</v>
      </c>
      <c r="M81" s="8">
        <v>82</v>
      </c>
      <c r="N81" s="38">
        <v>82</v>
      </c>
      <c r="O81" s="8">
        <v>81</v>
      </c>
      <c r="P81" s="8">
        <v>83</v>
      </c>
      <c r="Q81" s="8">
        <v>83</v>
      </c>
      <c r="R81" s="8">
        <v>85</v>
      </c>
      <c r="S81" s="8">
        <v>78</v>
      </c>
      <c r="T81" s="38">
        <v>79</v>
      </c>
      <c r="U81" s="8">
        <v>84</v>
      </c>
      <c r="V81" s="8">
        <v>85</v>
      </c>
      <c r="W81" s="8">
        <v>87</v>
      </c>
      <c r="X81" s="8">
        <v>89</v>
      </c>
      <c r="Y81" s="39">
        <v>75</v>
      </c>
      <c r="Z81" s="38">
        <v>75</v>
      </c>
      <c r="AA81" s="8">
        <v>78</v>
      </c>
      <c r="AB81" s="8">
        <v>79</v>
      </c>
      <c r="AC81" s="8">
        <v>85</v>
      </c>
      <c r="AD81" s="8">
        <v>86</v>
      </c>
      <c r="AE81" s="39">
        <v>78</v>
      </c>
      <c r="AF81" s="38">
        <v>78</v>
      </c>
      <c r="AG81" s="8">
        <v>83</v>
      </c>
      <c r="AH81" s="8">
        <v>84</v>
      </c>
      <c r="AI81" s="8">
        <v>86</v>
      </c>
      <c r="AJ81" s="8">
        <v>90</v>
      </c>
      <c r="AK81" s="10">
        <v>83</v>
      </c>
      <c r="AL81" s="10">
        <v>85</v>
      </c>
      <c r="AM81" s="12"/>
      <c r="AN81" s="12"/>
      <c r="AO81" s="12"/>
      <c r="AP81" s="2" t="s">
        <v>992</v>
      </c>
      <c r="AQ81" s="39">
        <v>83</v>
      </c>
      <c r="AR81" s="38">
        <v>82</v>
      </c>
      <c r="AS81" s="39">
        <v>79</v>
      </c>
      <c r="AT81" s="38">
        <v>81</v>
      </c>
      <c r="AU81" s="8">
        <v>83</v>
      </c>
      <c r="AV81" s="8">
        <v>82</v>
      </c>
      <c r="AW81" s="39">
        <v>78</v>
      </c>
      <c r="AX81" s="38">
        <v>82</v>
      </c>
      <c r="AY81" s="39">
        <v>82</v>
      </c>
      <c r="AZ81" s="38">
        <v>83</v>
      </c>
      <c r="BA81" s="39">
        <v>84</v>
      </c>
      <c r="BB81" s="38">
        <v>84</v>
      </c>
      <c r="BC81" s="39">
        <v>81</v>
      </c>
      <c r="BD81" s="38">
        <v>82</v>
      </c>
      <c r="BE81" s="39">
        <v>77</v>
      </c>
      <c r="BF81" s="38">
        <v>81</v>
      </c>
      <c r="BG81" s="39">
        <v>79</v>
      </c>
      <c r="BH81" s="10">
        <v>81</v>
      </c>
      <c r="BI81" s="8">
        <v>85</v>
      </c>
      <c r="BJ81" s="8">
        <v>86</v>
      </c>
      <c r="BK81" s="8">
        <v>81</v>
      </c>
      <c r="BL81" s="8">
        <v>82</v>
      </c>
      <c r="BM81" s="8">
        <v>84</v>
      </c>
      <c r="BN81" s="8">
        <v>85</v>
      </c>
      <c r="BO81" s="8">
        <v>82</v>
      </c>
      <c r="BP81" s="8">
        <v>90</v>
      </c>
      <c r="BQ81" s="8">
        <v>84</v>
      </c>
      <c r="BR81" s="8">
        <v>85</v>
      </c>
      <c r="BS81" s="8">
        <v>88</v>
      </c>
      <c r="BT81" s="8">
        <v>88</v>
      </c>
      <c r="BU81" s="8">
        <v>84</v>
      </c>
      <c r="BV81" s="41">
        <v>84</v>
      </c>
      <c r="BW81" s="8">
        <v>84</v>
      </c>
      <c r="BX81" s="8">
        <v>86</v>
      </c>
      <c r="BY81" s="8">
        <v>83</v>
      </c>
      <c r="BZ81" s="8">
        <v>87</v>
      </c>
      <c r="CA81" s="39">
        <v>81</v>
      </c>
      <c r="CB81" s="38">
        <v>82</v>
      </c>
      <c r="CC81" s="19" t="s">
        <v>1051</v>
      </c>
      <c r="CD81" s="19" t="s">
        <v>1112</v>
      </c>
      <c r="CE81" s="43" t="s">
        <v>1113</v>
      </c>
      <c r="CF81" s="19" t="s">
        <v>996</v>
      </c>
      <c r="CJ81" s="19"/>
      <c r="CK81" s="4">
        <v>89.3333333333333</v>
      </c>
      <c r="CL81" s="4">
        <v>84</v>
      </c>
      <c r="CM81" s="4">
        <v>80</v>
      </c>
      <c r="CN81" s="4">
        <v>81</v>
      </c>
      <c r="CO81" s="35">
        <v>82</v>
      </c>
      <c r="CP81" s="35">
        <v>88.5</v>
      </c>
      <c r="CQ81" s="13">
        <f t="shared" si="21"/>
        <v>81.666666666666671</v>
      </c>
      <c r="CR81" s="13">
        <f t="shared" si="22"/>
        <v>82.666666666666671</v>
      </c>
      <c r="CS81" s="13">
        <f t="shared" si="23"/>
        <v>79.666666666666671</v>
      </c>
      <c r="CT81" s="13">
        <f t="shared" si="24"/>
        <v>83.666666666666671</v>
      </c>
      <c r="CU81" s="13">
        <f t="shared" si="25"/>
        <v>83.166666666666671</v>
      </c>
      <c r="CV81" s="13">
        <f t="shared" si="26"/>
        <v>82.5</v>
      </c>
      <c r="CW81" s="13">
        <f t="shared" si="27"/>
        <v>81.25</v>
      </c>
      <c r="CX81" s="13">
        <f t="shared" si="28"/>
        <v>81.5</v>
      </c>
      <c r="CY81" s="13">
        <f t="shared" si="29"/>
        <v>84</v>
      </c>
      <c r="CZ81" s="13">
        <f t="shared" si="30"/>
        <v>82.5</v>
      </c>
      <c r="DA81" s="13">
        <f t="shared" si="31"/>
        <v>80</v>
      </c>
      <c r="DB81" s="13">
        <f t="shared" si="32"/>
        <v>79</v>
      </c>
      <c r="DC81" s="13">
        <f t="shared" si="33"/>
        <v>80</v>
      </c>
      <c r="DD81" s="13">
        <f t="shared" si="34"/>
        <v>81.5</v>
      </c>
      <c r="DE81" s="13">
        <f t="shared" si="35"/>
        <v>83.5</v>
      </c>
      <c r="DF81" s="13">
        <f t="shared" si="36"/>
        <v>85.25</v>
      </c>
      <c r="DG81" s="13">
        <f t="shared" si="37"/>
        <v>86.25</v>
      </c>
      <c r="DH81" s="13">
        <f t="shared" si="38"/>
        <v>85</v>
      </c>
      <c r="DI81" s="13">
        <f t="shared" si="39"/>
        <v>84</v>
      </c>
      <c r="DJ81" s="13">
        <f t="shared" si="40"/>
        <v>84</v>
      </c>
      <c r="DK81" s="13">
        <f t="shared" si="41"/>
        <v>82.554166666666674</v>
      </c>
    </row>
    <row r="82" spans="1:115" s="4" customFormat="1" ht="20.100000000000001" customHeight="1">
      <c r="A82">
        <v>81</v>
      </c>
      <c r="B82" s="2">
        <f>'DATA US'!B95</f>
        <v>222310079</v>
      </c>
      <c r="C82" t="str">
        <f>'DATA US'!F95</f>
        <v>BEKASI</v>
      </c>
      <c r="D82" s="37" t="str">
        <f>'DATA US'!G95</f>
        <v>20 Maret 2007</v>
      </c>
      <c r="E82" s="2" t="str">
        <f>'DATA US'!C95</f>
        <v>0079989890</v>
      </c>
      <c r="F82" s="2" t="str">
        <f>'DATA US'!D95</f>
        <v xml:space="preserve">YUSUF  </v>
      </c>
      <c r="G82" s="8">
        <v>81</v>
      </c>
      <c r="H82" s="38">
        <v>78</v>
      </c>
      <c r="I82" s="8">
        <v>82</v>
      </c>
      <c r="J82" s="8">
        <v>82</v>
      </c>
      <c r="K82" s="8">
        <v>83</v>
      </c>
      <c r="L82" s="8">
        <v>84</v>
      </c>
      <c r="M82" s="8">
        <v>82</v>
      </c>
      <c r="N82" s="38">
        <v>82</v>
      </c>
      <c r="O82" s="8">
        <v>81</v>
      </c>
      <c r="P82" s="8">
        <v>82</v>
      </c>
      <c r="Q82" s="8">
        <v>84</v>
      </c>
      <c r="R82" s="8">
        <v>84</v>
      </c>
      <c r="S82" s="8">
        <v>79</v>
      </c>
      <c r="T82" s="38">
        <v>79</v>
      </c>
      <c r="U82" s="8">
        <v>84</v>
      </c>
      <c r="V82" s="8">
        <v>83</v>
      </c>
      <c r="W82" s="8">
        <v>84</v>
      </c>
      <c r="X82" s="8">
        <v>86</v>
      </c>
      <c r="Y82" s="39">
        <v>75</v>
      </c>
      <c r="Z82" s="38">
        <v>75</v>
      </c>
      <c r="AA82" s="8">
        <v>78</v>
      </c>
      <c r="AB82" s="8">
        <v>79</v>
      </c>
      <c r="AC82" s="8">
        <v>85</v>
      </c>
      <c r="AD82" s="8">
        <v>83</v>
      </c>
      <c r="AE82" s="39">
        <v>78</v>
      </c>
      <c r="AF82" s="38">
        <v>78</v>
      </c>
      <c r="AG82" s="8">
        <v>82</v>
      </c>
      <c r="AH82" s="8">
        <v>84</v>
      </c>
      <c r="AI82" s="8">
        <v>85</v>
      </c>
      <c r="AJ82" s="8">
        <v>85</v>
      </c>
      <c r="AK82" s="10">
        <v>84</v>
      </c>
      <c r="AL82" s="10">
        <v>82</v>
      </c>
      <c r="AM82" s="12"/>
      <c r="AN82" s="12"/>
      <c r="AO82" s="12"/>
      <c r="AP82" s="2" t="s">
        <v>992</v>
      </c>
      <c r="AQ82" s="39">
        <v>82</v>
      </c>
      <c r="AR82" s="38">
        <v>83</v>
      </c>
      <c r="AS82" s="39">
        <v>79</v>
      </c>
      <c r="AT82" s="38">
        <v>81</v>
      </c>
      <c r="AU82" s="8">
        <v>83</v>
      </c>
      <c r="AV82" s="8">
        <v>82</v>
      </c>
      <c r="AW82" s="39">
        <v>79</v>
      </c>
      <c r="AX82" s="38">
        <v>81</v>
      </c>
      <c r="AY82" s="39">
        <v>82</v>
      </c>
      <c r="AZ82" s="38">
        <v>82</v>
      </c>
      <c r="BA82" s="39">
        <v>84</v>
      </c>
      <c r="BB82" s="38">
        <v>84</v>
      </c>
      <c r="BC82" s="39">
        <v>81</v>
      </c>
      <c r="BD82" s="38">
        <v>81</v>
      </c>
      <c r="BE82" s="39">
        <v>77</v>
      </c>
      <c r="BF82" s="38">
        <v>82</v>
      </c>
      <c r="BG82" s="39">
        <v>78</v>
      </c>
      <c r="BH82" s="10">
        <v>82</v>
      </c>
      <c r="BI82" s="8">
        <v>84</v>
      </c>
      <c r="BJ82" s="8">
        <v>85</v>
      </c>
      <c r="BK82" s="8">
        <v>81</v>
      </c>
      <c r="BL82" s="8">
        <v>82</v>
      </c>
      <c r="BM82" s="8">
        <v>84</v>
      </c>
      <c r="BN82" s="8">
        <v>85</v>
      </c>
      <c r="BO82" s="8">
        <v>86</v>
      </c>
      <c r="BP82" s="8">
        <v>89</v>
      </c>
      <c r="BQ82" s="49">
        <v>79</v>
      </c>
      <c r="BR82" s="8">
        <v>84</v>
      </c>
      <c r="BS82" s="8">
        <v>85</v>
      </c>
      <c r="BT82" s="8">
        <v>85</v>
      </c>
      <c r="BU82" s="8">
        <v>81</v>
      </c>
      <c r="BV82" s="41">
        <v>83</v>
      </c>
      <c r="BW82" s="8">
        <v>83</v>
      </c>
      <c r="BX82" s="8">
        <v>85</v>
      </c>
      <c r="BY82" s="8">
        <v>84</v>
      </c>
      <c r="BZ82" s="8">
        <v>86</v>
      </c>
      <c r="CA82" s="39">
        <v>80</v>
      </c>
      <c r="CB82" s="38">
        <v>83</v>
      </c>
      <c r="CC82" s="19" t="s">
        <v>1001</v>
      </c>
      <c r="CD82" s="50" t="s">
        <v>1036</v>
      </c>
      <c r="CE82" s="43" t="s">
        <v>1114</v>
      </c>
      <c r="CF82" s="19" t="s">
        <v>1000</v>
      </c>
      <c r="CJ82" s="19"/>
      <c r="CK82" s="4">
        <v>89.6666666666667</v>
      </c>
      <c r="CL82" s="4">
        <v>84</v>
      </c>
      <c r="CM82" s="4">
        <v>83</v>
      </c>
      <c r="CN82" s="4">
        <v>87</v>
      </c>
      <c r="CO82" s="35">
        <v>82</v>
      </c>
      <c r="CP82" s="35">
        <v>83.5833333333333</v>
      </c>
      <c r="CQ82" s="13">
        <f t="shared" si="21"/>
        <v>81.666666666666671</v>
      </c>
      <c r="CR82" s="13">
        <f t="shared" si="22"/>
        <v>82.5</v>
      </c>
      <c r="CS82" s="13">
        <f t="shared" si="23"/>
        <v>79.166666666666671</v>
      </c>
      <c r="CT82" s="13">
        <f t="shared" si="24"/>
        <v>82.5</v>
      </c>
      <c r="CU82" s="13">
        <f t="shared" si="25"/>
        <v>82</v>
      </c>
      <c r="CV82" s="13">
        <f t="shared" si="26"/>
        <v>82.5</v>
      </c>
      <c r="CW82" s="13">
        <f t="shared" si="27"/>
        <v>81.25</v>
      </c>
      <c r="CX82" s="13">
        <f t="shared" si="28"/>
        <v>81.5</v>
      </c>
      <c r="CY82" s="13">
        <f t="shared" si="29"/>
        <v>84</v>
      </c>
      <c r="CZ82" s="13">
        <f t="shared" si="30"/>
        <v>82</v>
      </c>
      <c r="DA82" s="13">
        <f t="shared" si="31"/>
        <v>80</v>
      </c>
      <c r="DB82" s="13">
        <f t="shared" si="32"/>
        <v>79.5</v>
      </c>
      <c r="DC82" s="13">
        <f t="shared" si="33"/>
        <v>80</v>
      </c>
      <c r="DD82" s="13">
        <f t="shared" si="34"/>
        <v>81</v>
      </c>
      <c r="DE82" s="13">
        <f t="shared" si="35"/>
        <v>83</v>
      </c>
      <c r="DF82" s="13">
        <f t="shared" si="36"/>
        <v>86</v>
      </c>
      <c r="DG82" s="13">
        <f t="shared" si="37"/>
        <v>83.25</v>
      </c>
      <c r="DH82" s="13">
        <f t="shared" si="38"/>
        <v>84.5</v>
      </c>
      <c r="DI82" s="13">
        <f t="shared" si="39"/>
        <v>82</v>
      </c>
      <c r="DJ82" s="13">
        <f t="shared" si="40"/>
        <v>83</v>
      </c>
      <c r="DK82" s="13">
        <f t="shared" si="41"/>
        <v>82.066666666666677</v>
      </c>
    </row>
  </sheetData>
  <conditionalFormatting sqref="U79">
    <cfRule type="cellIs" dxfId="6" priority="7" operator="lessThan">
      <formula>$I$72</formula>
    </cfRule>
  </conditionalFormatting>
  <conditionalFormatting sqref="AG75">
    <cfRule type="cellIs" dxfId="5" priority="6" operator="lessThan">
      <formula>$I$72</formula>
    </cfRule>
  </conditionalFormatting>
  <conditionalFormatting sqref="AI75:AJ75">
    <cfRule type="cellIs" dxfId="4" priority="1" operator="lessThan">
      <formula>$I$72</formula>
    </cfRule>
  </conditionalFormatting>
  <conditionalFormatting sqref="BM79">
    <cfRule type="cellIs" dxfId="3" priority="5" operator="lessThan">
      <formula>$I$72</formula>
    </cfRule>
  </conditionalFormatting>
  <conditionalFormatting sqref="BQ75">
    <cfRule type="cellIs" dxfId="2" priority="4" operator="lessThan">
      <formula>$I$72</formula>
    </cfRule>
  </conditionalFormatting>
  <conditionalFormatting sqref="BQ79">
    <cfRule type="cellIs" dxfId="1" priority="3" operator="lessThan">
      <formula>$I$72</formula>
    </cfRule>
  </conditionalFormatting>
  <conditionalFormatting sqref="BQ82">
    <cfRule type="cellIs" dxfId="0" priority="2" operator="lessThan">
      <formula>$I$72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82"/>
  <sheetViews>
    <sheetView tabSelected="1" zoomScaleNormal="100" workbookViewId="0">
      <pane xSplit="8" ySplit="1" topLeftCell="CI62" activePane="bottomRight" state="frozen"/>
      <selection pane="topRight"/>
      <selection pane="bottomLeft"/>
      <selection pane="bottomRight" activeCell="CK2" sqref="CK2:CK62"/>
    </sheetView>
  </sheetViews>
  <sheetFormatPr defaultColWidth="9" defaultRowHeight="14.4"/>
  <cols>
    <col min="1" max="1" width="9" customWidth="1"/>
    <col min="2" max="2" width="26.6640625" hidden="1" customWidth="1"/>
    <col min="3" max="3" width="19.88671875" hidden="1" customWidth="1"/>
    <col min="4" max="4" width="12.21875" customWidth="1"/>
    <col min="5" max="8" width="23.44140625" customWidth="1"/>
    <col min="41" max="43" width="9" customWidth="1"/>
    <col min="50" max="51" width="9" hidden="1" customWidth="1"/>
    <col min="86" max="86" width="27.33203125" customWidth="1"/>
    <col min="87" max="88" width="30.6640625" customWidth="1"/>
    <col min="89" max="89" width="12.21875" customWidth="1"/>
    <col min="90" max="90" width="32.21875" customWidth="1"/>
    <col min="91" max="91" width="36.88671875" customWidth="1"/>
    <col min="92" max="92" width="38.44140625" customWidth="1"/>
    <col min="93" max="93" width="16.77734375" customWidth="1"/>
    <col min="94" max="94" width="22.109375" customWidth="1"/>
    <col min="95" max="97" width="25.21875" customWidth="1"/>
    <col min="98" max="98" width="27.5546875" customWidth="1"/>
  </cols>
  <sheetData>
    <row r="1" spans="1:126" s="1" customFormat="1" ht="29.55" customHeight="1">
      <c r="A1" s="1" t="s">
        <v>905</v>
      </c>
      <c r="B1" s="1" t="s">
        <v>27</v>
      </c>
      <c r="C1" s="1" t="s">
        <v>28</v>
      </c>
      <c r="D1" s="1" t="s">
        <v>27</v>
      </c>
      <c r="E1" s="1" t="s">
        <v>28</v>
      </c>
      <c r="F1" s="1" t="s">
        <v>868</v>
      </c>
      <c r="G1" s="1" t="s">
        <v>869</v>
      </c>
      <c r="H1" s="1" t="s">
        <v>1115</v>
      </c>
      <c r="I1" s="1" t="s">
        <v>908</v>
      </c>
      <c r="J1" s="1" t="s">
        <v>909</v>
      </c>
      <c r="K1" s="1" t="s">
        <v>910</v>
      </c>
      <c r="L1" s="1" t="s">
        <v>911</v>
      </c>
      <c r="M1" s="1" t="s">
        <v>912</v>
      </c>
      <c r="N1" s="1" t="s">
        <v>913</v>
      </c>
      <c r="O1" s="1" t="s">
        <v>914</v>
      </c>
      <c r="P1" s="1" t="s">
        <v>915</v>
      </c>
      <c r="Q1" s="1" t="s">
        <v>916</v>
      </c>
      <c r="R1" s="1" t="s">
        <v>917</v>
      </c>
      <c r="S1" s="1" t="s">
        <v>918</v>
      </c>
      <c r="T1" s="1" t="s">
        <v>919</v>
      </c>
      <c r="U1" s="1" t="s">
        <v>920</v>
      </c>
      <c r="V1" s="1" t="s">
        <v>921</v>
      </c>
      <c r="W1" s="1" t="s">
        <v>922</v>
      </c>
      <c r="X1" s="1" t="s">
        <v>923</v>
      </c>
      <c r="Y1" s="1" t="s">
        <v>924</v>
      </c>
      <c r="Z1" s="1" t="s">
        <v>925</v>
      </c>
      <c r="AA1" s="1" t="s">
        <v>926</v>
      </c>
      <c r="AB1" s="1" t="s">
        <v>927</v>
      </c>
      <c r="AC1" s="1" t="s">
        <v>928</v>
      </c>
      <c r="AD1" s="1" t="s">
        <v>929</v>
      </c>
      <c r="AE1" s="1" t="s">
        <v>930</v>
      </c>
      <c r="AF1" s="1" t="s">
        <v>931</v>
      </c>
      <c r="AG1" s="1" t="s">
        <v>932</v>
      </c>
      <c r="AH1" s="1" t="s">
        <v>933</v>
      </c>
      <c r="AI1" s="1" t="s">
        <v>934</v>
      </c>
      <c r="AJ1" s="1" t="s">
        <v>935</v>
      </c>
      <c r="AK1" s="1" t="s">
        <v>936</v>
      </c>
      <c r="AL1" s="1" t="s">
        <v>937</v>
      </c>
      <c r="AM1" s="1" t="s">
        <v>938</v>
      </c>
      <c r="AN1" s="1" t="s">
        <v>939</v>
      </c>
      <c r="AO1" s="1" t="s">
        <v>940</v>
      </c>
      <c r="AP1" s="1" t="s">
        <v>941</v>
      </c>
      <c r="AQ1" s="1" t="s">
        <v>942</v>
      </c>
      <c r="AR1" s="1" t="s">
        <v>944</v>
      </c>
      <c r="AS1" s="1" t="s">
        <v>945</v>
      </c>
      <c r="AT1" s="1" t="s">
        <v>946</v>
      </c>
      <c r="AU1" s="1" t="s">
        <v>947</v>
      </c>
      <c r="AV1" s="1" t="s">
        <v>948</v>
      </c>
      <c r="AW1" s="1" t="s">
        <v>949</v>
      </c>
      <c r="AZ1" s="1" t="s">
        <v>950</v>
      </c>
      <c r="BA1" s="1" t="s">
        <v>951</v>
      </c>
      <c r="BB1" s="1" t="s">
        <v>952</v>
      </c>
      <c r="BC1" s="1" t="s">
        <v>953</v>
      </c>
      <c r="BD1" s="1" t="s">
        <v>954</v>
      </c>
      <c r="BE1" s="1" t="s">
        <v>955</v>
      </c>
      <c r="BF1" s="1" t="s">
        <v>1116</v>
      </c>
      <c r="BG1" s="1" t="s">
        <v>1117</v>
      </c>
      <c r="BH1" s="1" t="s">
        <v>1118</v>
      </c>
      <c r="BI1" s="1" t="s">
        <v>1119</v>
      </c>
      <c r="BJ1" s="1" t="s">
        <v>1120</v>
      </c>
      <c r="BK1" s="1" t="s">
        <v>1121</v>
      </c>
      <c r="BL1" s="1" t="s">
        <v>1122</v>
      </c>
      <c r="BM1" s="1" t="s">
        <v>1123</v>
      </c>
      <c r="BN1" s="1" t="s">
        <v>1124</v>
      </c>
      <c r="BO1" s="1" t="s">
        <v>1125</v>
      </c>
      <c r="BP1" s="1" t="s">
        <v>1126</v>
      </c>
      <c r="BQ1" s="1" t="s">
        <v>1127</v>
      </c>
      <c r="BR1" s="1" t="s">
        <v>1128</v>
      </c>
      <c r="BS1" s="1" t="s">
        <v>1129</v>
      </c>
      <c r="BT1" s="1" t="s">
        <v>1130</v>
      </c>
      <c r="BU1" s="1" t="s">
        <v>1131</v>
      </c>
      <c r="BV1" s="1" t="s">
        <v>1132</v>
      </c>
      <c r="BW1" s="1" t="s">
        <v>1133</v>
      </c>
      <c r="BX1" s="1" t="s">
        <v>1134</v>
      </c>
      <c r="BY1" s="1" t="s">
        <v>1135</v>
      </c>
      <c r="BZ1" s="1" t="s">
        <v>1136</v>
      </c>
      <c r="CA1" s="1" t="s">
        <v>1137</v>
      </c>
      <c r="CB1" s="1" t="s">
        <v>976</v>
      </c>
      <c r="CC1" s="1" t="s">
        <v>977</v>
      </c>
      <c r="CD1" s="1" t="s">
        <v>978</v>
      </c>
      <c r="CE1" s="1" t="s">
        <v>979</v>
      </c>
      <c r="CF1" s="1" t="s">
        <v>980</v>
      </c>
      <c r="CG1" s="1" t="s">
        <v>981</v>
      </c>
      <c r="CH1" s="1" t="s">
        <v>982</v>
      </c>
      <c r="CI1" s="1" t="s">
        <v>983</v>
      </c>
      <c r="CJ1" s="1" t="s">
        <v>984</v>
      </c>
      <c r="CK1" s="22" t="s">
        <v>985</v>
      </c>
      <c r="CL1" s="1" t="s">
        <v>1138</v>
      </c>
      <c r="CM1" s="1" t="s">
        <v>1139</v>
      </c>
      <c r="CN1" s="1" t="s">
        <v>1140</v>
      </c>
      <c r="CO1" s="295" t="s">
        <v>1264</v>
      </c>
      <c r="CP1" s="1" t="s">
        <v>1141</v>
      </c>
      <c r="CQ1" s="1" t="s">
        <v>1142</v>
      </c>
      <c r="CR1" s="1" t="s">
        <v>1143</v>
      </c>
      <c r="CS1" s="295" t="s">
        <v>1265</v>
      </c>
      <c r="CT1" s="1" t="s">
        <v>986</v>
      </c>
      <c r="CU1" s="1" t="s">
        <v>987</v>
      </c>
      <c r="CV1" s="1" t="s">
        <v>988</v>
      </c>
      <c r="CW1" s="1" t="s">
        <v>989</v>
      </c>
      <c r="CX1" s="1" t="s">
        <v>990</v>
      </c>
      <c r="CY1" s="1" t="s">
        <v>991</v>
      </c>
      <c r="CZ1" s="1" t="s">
        <v>1233</v>
      </c>
      <c r="DA1" s="1" t="s">
        <v>1234</v>
      </c>
      <c r="DB1" s="295" t="s">
        <v>1252</v>
      </c>
      <c r="DC1" s="1" t="s">
        <v>1235</v>
      </c>
      <c r="DD1" s="1" t="s">
        <v>1236</v>
      </c>
      <c r="DE1" s="1" t="s">
        <v>1237</v>
      </c>
      <c r="DF1" s="1" t="s">
        <v>1238</v>
      </c>
      <c r="DG1" s="1" t="s">
        <v>1239</v>
      </c>
      <c r="DH1" s="1" t="s">
        <v>1240</v>
      </c>
      <c r="DI1" s="1" t="s">
        <v>1241</v>
      </c>
      <c r="DJ1" s="1" t="s">
        <v>1242</v>
      </c>
      <c r="DK1" s="295" t="s">
        <v>1253</v>
      </c>
      <c r="DL1" s="295" t="s">
        <v>1254</v>
      </c>
      <c r="DM1" s="295" t="s">
        <v>1255</v>
      </c>
      <c r="DN1" s="295" t="s">
        <v>1256</v>
      </c>
      <c r="DO1" s="295" t="s">
        <v>1257</v>
      </c>
      <c r="DP1" s="295" t="s">
        <v>1258</v>
      </c>
      <c r="DQ1" s="1" t="s">
        <v>1249</v>
      </c>
      <c r="DR1" s="295" t="s">
        <v>1259</v>
      </c>
      <c r="DS1" s="295" t="s">
        <v>1260</v>
      </c>
      <c r="DT1" s="295" t="s">
        <v>1268</v>
      </c>
      <c r="DU1" s="303" t="s">
        <v>1269</v>
      </c>
      <c r="DV1" s="330" t="s">
        <v>1416</v>
      </c>
    </row>
    <row r="2" spans="1:126">
      <c r="A2">
        <v>1</v>
      </c>
      <c r="B2">
        <f>'DATA US'!B15</f>
        <v>222310001</v>
      </c>
      <c r="C2" t="str">
        <f>'DATA US'!C15</f>
        <v>0072124779</v>
      </c>
      <c r="D2">
        <f>'DATA US'!B97</f>
        <v>222310080</v>
      </c>
      <c r="E2" t="str">
        <f>'DATA US'!C97</f>
        <v>3070905598</v>
      </c>
      <c r="F2" t="str">
        <f>'DATA US'!F97</f>
        <v>Bekasi</v>
      </c>
      <c r="G2" s="5" t="s">
        <v>520</v>
      </c>
      <c r="H2" t="str">
        <f>'DATA US'!D97</f>
        <v>AMANDA DWI LESTARI</v>
      </c>
      <c r="I2">
        <v>83</v>
      </c>
      <c r="J2">
        <v>80</v>
      </c>
      <c r="K2">
        <v>84</v>
      </c>
      <c r="L2">
        <v>88</v>
      </c>
      <c r="M2">
        <v>83</v>
      </c>
      <c r="N2">
        <v>84</v>
      </c>
      <c r="O2">
        <v>82</v>
      </c>
      <c r="P2">
        <v>84</v>
      </c>
      <c r="Q2">
        <v>81</v>
      </c>
      <c r="R2">
        <v>85</v>
      </c>
      <c r="S2">
        <v>84</v>
      </c>
      <c r="T2">
        <v>86</v>
      </c>
      <c r="U2">
        <v>83</v>
      </c>
      <c r="V2">
        <v>80</v>
      </c>
      <c r="W2">
        <v>83</v>
      </c>
      <c r="X2">
        <v>86</v>
      </c>
      <c r="Y2">
        <v>85</v>
      </c>
      <c r="Z2">
        <v>87</v>
      </c>
      <c r="AA2">
        <v>75</v>
      </c>
      <c r="AB2">
        <v>76</v>
      </c>
      <c r="AC2">
        <v>79</v>
      </c>
      <c r="AD2">
        <v>79</v>
      </c>
      <c r="AE2">
        <v>88</v>
      </c>
      <c r="AF2">
        <v>91</v>
      </c>
      <c r="AG2">
        <v>80</v>
      </c>
      <c r="AH2">
        <v>78</v>
      </c>
      <c r="AI2">
        <v>84</v>
      </c>
      <c r="AJ2">
        <v>84</v>
      </c>
      <c r="AK2">
        <v>85</v>
      </c>
      <c r="AL2">
        <v>82</v>
      </c>
      <c r="AM2">
        <v>83</v>
      </c>
      <c r="AN2">
        <v>87</v>
      </c>
      <c r="AR2">
        <v>84</v>
      </c>
      <c r="AS2">
        <v>80</v>
      </c>
      <c r="AT2">
        <v>80</v>
      </c>
      <c r="AU2">
        <v>82</v>
      </c>
      <c r="AV2">
        <v>83</v>
      </c>
      <c r="AW2">
        <v>82</v>
      </c>
      <c r="AZ2">
        <v>79</v>
      </c>
      <c r="BA2">
        <v>80</v>
      </c>
      <c r="BB2">
        <v>84</v>
      </c>
      <c r="BC2">
        <v>84</v>
      </c>
      <c r="BD2">
        <v>84</v>
      </c>
      <c r="BE2">
        <v>84</v>
      </c>
      <c r="BF2">
        <v>76</v>
      </c>
      <c r="BG2">
        <v>84</v>
      </c>
      <c r="BH2">
        <v>95</v>
      </c>
      <c r="BI2">
        <v>93</v>
      </c>
      <c r="BJ2">
        <v>79</v>
      </c>
      <c r="BK2">
        <v>83</v>
      </c>
      <c r="BL2">
        <v>81</v>
      </c>
      <c r="BM2">
        <v>84</v>
      </c>
      <c r="BN2">
        <v>82</v>
      </c>
      <c r="BO2">
        <v>83</v>
      </c>
      <c r="BP2">
        <v>84</v>
      </c>
      <c r="BQ2">
        <v>82</v>
      </c>
      <c r="BR2" s="13">
        <v>88</v>
      </c>
      <c r="BS2">
        <v>88</v>
      </c>
      <c r="BT2">
        <v>91</v>
      </c>
      <c r="BU2">
        <v>90</v>
      </c>
      <c r="BV2">
        <v>86</v>
      </c>
      <c r="BW2">
        <v>86</v>
      </c>
      <c r="BX2">
        <v>85</v>
      </c>
      <c r="BY2">
        <v>91</v>
      </c>
      <c r="BZ2">
        <v>85</v>
      </c>
      <c r="CA2">
        <v>86</v>
      </c>
      <c r="CB2">
        <v>80</v>
      </c>
      <c r="CC2">
        <v>83</v>
      </c>
      <c r="CD2">
        <v>87</v>
      </c>
      <c r="CE2">
        <v>88</v>
      </c>
      <c r="CF2">
        <v>81</v>
      </c>
      <c r="CG2">
        <v>84</v>
      </c>
      <c r="CH2" t="s">
        <v>1144</v>
      </c>
      <c r="CI2" t="s">
        <v>1145</v>
      </c>
      <c r="CJ2" t="s">
        <v>1146</v>
      </c>
      <c r="CK2" s="23" t="s">
        <v>996</v>
      </c>
      <c r="CT2" s="31">
        <v>88.6666666666667</v>
      </c>
      <c r="CU2">
        <v>84.3333333333333</v>
      </c>
      <c r="CV2">
        <v>86</v>
      </c>
      <c r="CW2">
        <v>82</v>
      </c>
      <c r="CX2" s="13">
        <v>83.25</v>
      </c>
      <c r="CY2" s="13">
        <v>90.428571428571402</v>
      </c>
      <c r="CZ2" s="13">
        <f>AVERAGE(I2:N2)</f>
        <v>83.666666666666671</v>
      </c>
      <c r="DA2" s="13">
        <f>AVERAGE(O2:T2)</f>
        <v>83.666666666666671</v>
      </c>
      <c r="DB2" s="13">
        <f>AVERAGE(AA2:AF2)</f>
        <v>81.333333333333329</v>
      </c>
      <c r="DC2" s="13">
        <f>AVERAGE(U2:Z2)</f>
        <v>84</v>
      </c>
      <c r="DD2" s="13">
        <f>AVERAGE(AG2:AL2)</f>
        <v>82.166666666666671</v>
      </c>
      <c r="DE2" s="13">
        <f>AVERAGE(AR2:AS2)</f>
        <v>82</v>
      </c>
      <c r="DF2" s="13">
        <f>AVERAGE(AT2:AW2)</f>
        <v>81.75</v>
      </c>
      <c r="DG2" s="13">
        <f>AVERAGE(CF2:CG2)</f>
        <v>82.5</v>
      </c>
      <c r="DH2" s="13">
        <f>AVERAGE(BD2:BE2)</f>
        <v>84</v>
      </c>
      <c r="DI2" s="13">
        <f>AVERAGE(BB2:BC2)</f>
        <v>84</v>
      </c>
      <c r="DJ2" s="13">
        <f>AVERAGE(AZ2:BA2)</f>
        <v>79.5</v>
      </c>
      <c r="DK2" s="13">
        <f>AVERAGE(BF2:BG2)</f>
        <v>80</v>
      </c>
      <c r="DL2" s="13">
        <f>AVERAGE(BJ2:BK2)</f>
        <v>81</v>
      </c>
      <c r="DM2" s="13">
        <f>AVERAGE(BH2:BI2)</f>
        <v>94</v>
      </c>
      <c r="DN2" s="13">
        <f>AVERAGE(BL2:BM2)</f>
        <v>82.5</v>
      </c>
      <c r="DO2" s="13">
        <f>AVERAGE(BR2:BU2)</f>
        <v>89.25</v>
      </c>
      <c r="DP2" s="13">
        <f>AVERAGE(BN2:BQ2)</f>
        <v>82.75</v>
      </c>
      <c r="DQ2" s="13">
        <f>AVERAGE(CB2:CE2)</f>
        <v>84.5</v>
      </c>
      <c r="DR2" s="13">
        <f>AVERAGE(BZ2:CA2)</f>
        <v>85.5</v>
      </c>
      <c r="DS2">
        <f>AVERAGE(BV2:BY2)</f>
        <v>87</v>
      </c>
      <c r="DT2">
        <f>AVERAGE(AA2:AF2)</f>
        <v>81.333333333333329</v>
      </c>
      <c r="DU2">
        <f>AVERAGE(AM2:AN2)</f>
        <v>85</v>
      </c>
      <c r="DV2" s="31">
        <f>AVERAGE(CT2:DU2)</f>
        <v>84.146258503401356</v>
      </c>
    </row>
    <row r="3" spans="1:126">
      <c r="A3">
        <v>2</v>
      </c>
      <c r="B3">
        <f>'DATA US'!B16</f>
        <v>222310002</v>
      </c>
      <c r="C3" t="str">
        <f>'DATA US'!C16</f>
        <v>0077315289</v>
      </c>
      <c r="D3">
        <f>'DATA US'!B98</f>
        <v>222310081</v>
      </c>
      <c r="E3" t="str">
        <f>'DATA US'!C98</f>
        <v>0074408442</v>
      </c>
      <c r="F3" t="str">
        <f>'DATA US'!F98</f>
        <v>Bekasi</v>
      </c>
      <c r="G3" s="5" t="s">
        <v>526</v>
      </c>
      <c r="H3" t="str">
        <f>'DATA US'!D98</f>
        <v>ANA AZIZAH</v>
      </c>
      <c r="I3">
        <v>83</v>
      </c>
      <c r="J3">
        <v>80</v>
      </c>
      <c r="K3">
        <v>87</v>
      </c>
      <c r="L3">
        <v>86</v>
      </c>
      <c r="M3">
        <v>83</v>
      </c>
      <c r="N3">
        <v>84</v>
      </c>
      <c r="O3">
        <v>81</v>
      </c>
      <c r="P3">
        <v>82</v>
      </c>
      <c r="Q3">
        <v>82</v>
      </c>
      <c r="R3">
        <v>83</v>
      </c>
      <c r="S3">
        <v>83</v>
      </c>
      <c r="T3">
        <v>85</v>
      </c>
      <c r="U3">
        <v>79</v>
      </c>
      <c r="V3">
        <v>79</v>
      </c>
      <c r="W3">
        <v>88</v>
      </c>
      <c r="X3">
        <v>90</v>
      </c>
      <c r="Y3">
        <v>86</v>
      </c>
      <c r="Z3">
        <v>88</v>
      </c>
      <c r="AA3">
        <v>75</v>
      </c>
      <c r="AB3">
        <v>76</v>
      </c>
      <c r="AC3">
        <v>79</v>
      </c>
      <c r="AD3">
        <v>81</v>
      </c>
      <c r="AE3">
        <v>84</v>
      </c>
      <c r="AF3">
        <v>90</v>
      </c>
      <c r="AG3">
        <v>81</v>
      </c>
      <c r="AH3">
        <v>76</v>
      </c>
      <c r="AI3">
        <v>87</v>
      </c>
      <c r="AJ3">
        <v>90</v>
      </c>
      <c r="AK3">
        <v>87</v>
      </c>
      <c r="AL3">
        <v>81</v>
      </c>
      <c r="AM3">
        <v>85</v>
      </c>
      <c r="AN3">
        <v>87</v>
      </c>
      <c r="AR3">
        <v>84</v>
      </c>
      <c r="AS3">
        <v>81</v>
      </c>
      <c r="AT3">
        <v>80</v>
      </c>
      <c r="AU3">
        <v>82</v>
      </c>
      <c r="AV3">
        <v>88</v>
      </c>
      <c r="AW3">
        <v>82</v>
      </c>
      <c r="AZ3">
        <v>77</v>
      </c>
      <c r="BA3">
        <v>80</v>
      </c>
      <c r="BB3">
        <v>84</v>
      </c>
      <c r="BC3">
        <v>84</v>
      </c>
      <c r="BD3">
        <v>83</v>
      </c>
      <c r="BE3">
        <v>83</v>
      </c>
      <c r="BF3">
        <v>76</v>
      </c>
      <c r="BG3">
        <v>81</v>
      </c>
      <c r="BH3">
        <v>89</v>
      </c>
      <c r="BI3">
        <v>89</v>
      </c>
      <c r="BJ3">
        <v>80</v>
      </c>
      <c r="BK3">
        <v>83</v>
      </c>
      <c r="BL3">
        <v>81</v>
      </c>
      <c r="BM3">
        <v>84</v>
      </c>
      <c r="BN3">
        <v>82</v>
      </c>
      <c r="BO3">
        <v>83</v>
      </c>
      <c r="BP3">
        <v>84</v>
      </c>
      <c r="BQ3">
        <v>81</v>
      </c>
      <c r="BR3" s="13">
        <v>88</v>
      </c>
      <c r="BS3">
        <v>86</v>
      </c>
      <c r="BT3">
        <v>90</v>
      </c>
      <c r="BU3">
        <v>89</v>
      </c>
      <c r="BV3">
        <v>81</v>
      </c>
      <c r="BW3">
        <v>86</v>
      </c>
      <c r="BX3">
        <v>84</v>
      </c>
      <c r="BY3">
        <v>90</v>
      </c>
      <c r="BZ3">
        <v>84</v>
      </c>
      <c r="CA3">
        <v>86</v>
      </c>
      <c r="CB3">
        <v>81</v>
      </c>
      <c r="CC3">
        <v>83</v>
      </c>
      <c r="CD3">
        <v>87</v>
      </c>
      <c r="CE3">
        <v>87</v>
      </c>
      <c r="CF3">
        <v>82</v>
      </c>
      <c r="CG3">
        <v>83</v>
      </c>
      <c r="CH3" t="s">
        <v>1147</v>
      </c>
      <c r="CI3" t="s">
        <v>1148</v>
      </c>
      <c r="CJ3" t="s">
        <v>1149</v>
      </c>
      <c r="CK3" s="23" t="s">
        <v>996</v>
      </c>
      <c r="CT3" s="31">
        <v>88.6666666666667</v>
      </c>
      <c r="CU3">
        <v>83.6666666666667</v>
      </c>
      <c r="CV3">
        <v>90</v>
      </c>
      <c r="CW3">
        <v>80</v>
      </c>
      <c r="CX3" s="13">
        <v>84.75</v>
      </c>
      <c r="CY3" s="13">
        <v>85.285714285714306</v>
      </c>
      <c r="CZ3" s="13">
        <f t="shared" ref="CZ3:CZ66" si="0">AVERAGE(I3:N3)</f>
        <v>83.833333333333329</v>
      </c>
      <c r="DA3" s="13">
        <f t="shared" ref="DA3:DA66" si="1">AVERAGE(O3:T3)</f>
        <v>82.666666666666671</v>
      </c>
      <c r="DB3" s="13">
        <f t="shared" ref="DB3:DB66" si="2">AVERAGE(AA3:AF3)</f>
        <v>80.833333333333329</v>
      </c>
      <c r="DC3" s="13">
        <f t="shared" ref="DC3:DC66" si="3">AVERAGE(U3:Z3)</f>
        <v>85</v>
      </c>
      <c r="DD3" s="13">
        <f t="shared" ref="DD3:DD66" si="4">AVERAGE(AG3:AL3)</f>
        <v>83.666666666666671</v>
      </c>
      <c r="DE3" s="13">
        <f t="shared" ref="DE3:DE66" si="5">AVERAGE(AR3:AS3)</f>
        <v>82.5</v>
      </c>
      <c r="DF3" s="13">
        <f t="shared" ref="DF3:DF66" si="6">AVERAGE(AT3:AW3)</f>
        <v>83</v>
      </c>
      <c r="DG3" s="13">
        <f t="shared" ref="DG3:DG66" si="7">AVERAGE(CF3:CG3)</f>
        <v>82.5</v>
      </c>
      <c r="DH3" s="13">
        <f t="shared" ref="DH3:DH66" si="8">AVERAGE(BD3:BE3)</f>
        <v>83</v>
      </c>
      <c r="DI3" s="13">
        <f t="shared" ref="DI3:DI66" si="9">AVERAGE(BB3:BC3)</f>
        <v>84</v>
      </c>
      <c r="DJ3" s="13">
        <f t="shared" ref="DJ3:DJ66" si="10">AVERAGE(AZ3:BA3)</f>
        <v>78.5</v>
      </c>
      <c r="DK3" s="13">
        <f t="shared" ref="DK3:DK66" si="11">AVERAGE(BF3:BG3)</f>
        <v>78.5</v>
      </c>
      <c r="DL3" s="13">
        <f t="shared" ref="DL3:DL66" si="12">AVERAGE(BJ3:BK3)</f>
        <v>81.5</v>
      </c>
      <c r="DM3" s="13">
        <f t="shared" ref="DM3:DM66" si="13">AVERAGE(BH3:BI3)</f>
        <v>89</v>
      </c>
      <c r="DN3" s="13">
        <f t="shared" ref="DN3:DN66" si="14">AVERAGE(BL3:BM3)</f>
        <v>82.5</v>
      </c>
      <c r="DO3" s="13">
        <f t="shared" ref="DO3:DO66" si="15">AVERAGE(BR3:BU3)</f>
        <v>88.25</v>
      </c>
      <c r="DP3" s="13">
        <f t="shared" ref="DP3:DP66" si="16">AVERAGE(BN3:BQ3)</f>
        <v>82.5</v>
      </c>
      <c r="DQ3" s="13">
        <f t="shared" ref="DQ3:DQ66" si="17">AVERAGE(CB3:CE3)</f>
        <v>84.5</v>
      </c>
      <c r="DR3" s="13">
        <f t="shared" ref="DR3:DR66" si="18">AVERAGE(BZ3:CA3)</f>
        <v>85</v>
      </c>
      <c r="DS3">
        <f t="shared" ref="DS3:DS66" si="19">AVERAGE(BV3:BY3)</f>
        <v>85.25</v>
      </c>
      <c r="DT3">
        <f t="shared" ref="DT3:DT66" si="20">AVERAGE(AA3:AF3)</f>
        <v>80.833333333333329</v>
      </c>
      <c r="DU3">
        <f t="shared" ref="DU3:DU66" si="21">AVERAGE(AM3:AN3)</f>
        <v>86</v>
      </c>
      <c r="DV3" s="31">
        <f t="shared" ref="DV3:DV62" si="22">AVERAGE(CT3:DU3)</f>
        <v>83.775085034013614</v>
      </c>
    </row>
    <row r="4" spans="1:126">
      <c r="A4">
        <v>3</v>
      </c>
      <c r="B4">
        <f>'DATA US'!B17</f>
        <v>222310003</v>
      </c>
      <c r="C4" t="str">
        <f>'DATA US'!C17</f>
        <v>0078124071</v>
      </c>
      <c r="D4">
        <f>'DATA US'!B99</f>
        <v>222310082</v>
      </c>
      <c r="E4" t="str">
        <f>'DATA US'!C99</f>
        <v>0079089656</v>
      </c>
      <c r="F4" t="str">
        <f>'DATA US'!F99</f>
        <v>Bekasi</v>
      </c>
      <c r="G4" s="5" t="s">
        <v>532</v>
      </c>
      <c r="H4" t="str">
        <f>'DATA US'!D99</f>
        <v>BANU BUKHORI</v>
      </c>
      <c r="I4">
        <v>81</v>
      </c>
      <c r="J4">
        <v>82</v>
      </c>
      <c r="K4">
        <v>89</v>
      </c>
      <c r="L4">
        <v>91</v>
      </c>
      <c r="M4">
        <v>85</v>
      </c>
      <c r="N4">
        <v>87</v>
      </c>
      <c r="O4">
        <v>83</v>
      </c>
      <c r="P4">
        <v>87</v>
      </c>
      <c r="Q4">
        <v>85</v>
      </c>
      <c r="R4">
        <v>84</v>
      </c>
      <c r="S4">
        <v>85</v>
      </c>
      <c r="T4">
        <v>90</v>
      </c>
      <c r="U4">
        <v>82</v>
      </c>
      <c r="V4">
        <v>82</v>
      </c>
      <c r="W4">
        <v>93</v>
      </c>
      <c r="X4">
        <v>95</v>
      </c>
      <c r="Y4">
        <v>91</v>
      </c>
      <c r="Z4">
        <v>93</v>
      </c>
      <c r="AA4">
        <v>75</v>
      </c>
      <c r="AB4">
        <v>76</v>
      </c>
      <c r="AC4">
        <v>82</v>
      </c>
      <c r="AD4">
        <v>79</v>
      </c>
      <c r="AE4">
        <v>88</v>
      </c>
      <c r="AF4">
        <v>93</v>
      </c>
      <c r="AG4">
        <v>80</v>
      </c>
      <c r="AH4">
        <v>82</v>
      </c>
      <c r="AI4">
        <v>87</v>
      </c>
      <c r="AJ4">
        <v>84</v>
      </c>
      <c r="AK4">
        <v>91</v>
      </c>
      <c r="AL4">
        <v>83</v>
      </c>
      <c r="AM4">
        <v>88</v>
      </c>
      <c r="AN4">
        <v>88</v>
      </c>
      <c r="AR4">
        <v>84</v>
      </c>
      <c r="AS4">
        <v>83</v>
      </c>
      <c r="AT4">
        <v>80</v>
      </c>
      <c r="AU4">
        <v>82</v>
      </c>
      <c r="AV4">
        <v>90</v>
      </c>
      <c r="AW4">
        <v>82</v>
      </c>
      <c r="AZ4">
        <v>79</v>
      </c>
      <c r="BA4">
        <v>88</v>
      </c>
      <c r="BB4">
        <v>83</v>
      </c>
      <c r="BC4">
        <v>84</v>
      </c>
      <c r="BD4">
        <v>83</v>
      </c>
      <c r="BE4">
        <v>84</v>
      </c>
      <c r="BF4">
        <v>77</v>
      </c>
      <c r="BG4">
        <v>79</v>
      </c>
      <c r="BH4">
        <v>94</v>
      </c>
      <c r="BI4">
        <v>92</v>
      </c>
      <c r="BJ4">
        <v>79</v>
      </c>
      <c r="BK4">
        <v>81</v>
      </c>
      <c r="BL4">
        <v>80</v>
      </c>
      <c r="BM4">
        <v>85</v>
      </c>
      <c r="BN4">
        <v>83</v>
      </c>
      <c r="BO4">
        <v>83</v>
      </c>
      <c r="BP4">
        <v>86</v>
      </c>
      <c r="BQ4">
        <v>83</v>
      </c>
      <c r="BR4" s="13">
        <v>90</v>
      </c>
      <c r="BS4">
        <v>85</v>
      </c>
      <c r="BT4">
        <v>91</v>
      </c>
      <c r="BU4">
        <v>89</v>
      </c>
      <c r="BV4">
        <v>81</v>
      </c>
      <c r="BW4">
        <v>90</v>
      </c>
      <c r="BX4">
        <v>85</v>
      </c>
      <c r="BY4">
        <v>90</v>
      </c>
      <c r="BZ4">
        <v>86</v>
      </c>
      <c r="CA4">
        <v>87</v>
      </c>
      <c r="CB4">
        <v>80</v>
      </c>
      <c r="CC4">
        <v>86</v>
      </c>
      <c r="CD4">
        <v>87</v>
      </c>
      <c r="CE4">
        <v>88</v>
      </c>
      <c r="CF4">
        <v>84</v>
      </c>
      <c r="CG4">
        <v>86</v>
      </c>
      <c r="CH4" t="s">
        <v>1150</v>
      </c>
      <c r="CI4" t="s">
        <v>1013</v>
      </c>
      <c r="CJ4" t="s">
        <v>1151</v>
      </c>
      <c r="CK4" s="23" t="s">
        <v>1000</v>
      </c>
      <c r="CT4" s="31">
        <v>91</v>
      </c>
      <c r="CU4">
        <v>86</v>
      </c>
      <c r="CV4">
        <v>98</v>
      </c>
      <c r="CW4">
        <v>92</v>
      </c>
      <c r="CX4" s="13">
        <v>86.5</v>
      </c>
      <c r="CY4" s="13">
        <v>90.714285714285694</v>
      </c>
      <c r="CZ4" s="13">
        <f t="shared" si="0"/>
        <v>85.833333333333329</v>
      </c>
      <c r="DA4" s="13">
        <f t="shared" si="1"/>
        <v>85.666666666666671</v>
      </c>
      <c r="DB4" s="13">
        <f t="shared" si="2"/>
        <v>82.166666666666671</v>
      </c>
      <c r="DC4" s="13">
        <f t="shared" si="3"/>
        <v>89.333333333333329</v>
      </c>
      <c r="DD4" s="13">
        <f t="shared" si="4"/>
        <v>84.5</v>
      </c>
      <c r="DE4" s="13">
        <f t="shared" si="5"/>
        <v>83.5</v>
      </c>
      <c r="DF4" s="13">
        <f t="shared" si="6"/>
        <v>83.5</v>
      </c>
      <c r="DG4" s="13">
        <f t="shared" si="7"/>
        <v>85</v>
      </c>
      <c r="DH4" s="13">
        <f t="shared" si="8"/>
        <v>83.5</v>
      </c>
      <c r="DI4" s="13">
        <f t="shared" si="9"/>
        <v>83.5</v>
      </c>
      <c r="DJ4" s="13">
        <f t="shared" si="10"/>
        <v>83.5</v>
      </c>
      <c r="DK4" s="13">
        <f t="shared" si="11"/>
        <v>78</v>
      </c>
      <c r="DL4" s="13">
        <f t="shared" si="12"/>
        <v>80</v>
      </c>
      <c r="DM4" s="13">
        <f t="shared" si="13"/>
        <v>93</v>
      </c>
      <c r="DN4" s="13">
        <f t="shared" si="14"/>
        <v>82.5</v>
      </c>
      <c r="DO4" s="13">
        <f t="shared" si="15"/>
        <v>88.75</v>
      </c>
      <c r="DP4" s="13">
        <f t="shared" si="16"/>
        <v>83.75</v>
      </c>
      <c r="DQ4" s="13">
        <f t="shared" si="17"/>
        <v>85.25</v>
      </c>
      <c r="DR4" s="13">
        <f t="shared" si="18"/>
        <v>86.5</v>
      </c>
      <c r="DS4">
        <f t="shared" si="19"/>
        <v>86.5</v>
      </c>
      <c r="DT4">
        <f t="shared" si="20"/>
        <v>82.166666666666671</v>
      </c>
      <c r="DU4">
        <f t="shared" si="21"/>
        <v>88</v>
      </c>
      <c r="DV4" s="31">
        <f t="shared" si="22"/>
        <v>86.022534013605437</v>
      </c>
    </row>
    <row r="5" spans="1:126">
      <c r="A5">
        <v>4</v>
      </c>
      <c r="B5">
        <f>'DATA US'!B18</f>
        <v>222310004</v>
      </c>
      <c r="C5" t="str">
        <f>'DATA US'!C18</f>
        <v>0134157802</v>
      </c>
      <c r="D5">
        <f>'DATA US'!B100</f>
        <v>222310083</v>
      </c>
      <c r="E5" t="str">
        <f>'DATA US'!C100</f>
        <v>0065044881</v>
      </c>
      <c r="F5" t="str">
        <f>'DATA US'!F100</f>
        <v>Jakarta</v>
      </c>
      <c r="G5" s="5">
        <v>39024</v>
      </c>
      <c r="H5" t="str">
        <f>'DATA US'!D100</f>
        <v>DAMA AJI</v>
      </c>
      <c r="I5">
        <v>82</v>
      </c>
      <c r="J5">
        <v>79</v>
      </c>
      <c r="K5">
        <v>87</v>
      </c>
      <c r="L5">
        <v>87</v>
      </c>
      <c r="M5">
        <v>85</v>
      </c>
      <c r="N5">
        <v>86</v>
      </c>
      <c r="O5">
        <v>83</v>
      </c>
      <c r="P5">
        <v>84</v>
      </c>
      <c r="Q5">
        <v>84</v>
      </c>
      <c r="R5">
        <v>83</v>
      </c>
      <c r="S5">
        <v>84</v>
      </c>
      <c r="T5">
        <v>86</v>
      </c>
      <c r="U5">
        <v>79</v>
      </c>
      <c r="V5">
        <v>80</v>
      </c>
      <c r="W5">
        <v>82</v>
      </c>
      <c r="X5">
        <v>84</v>
      </c>
      <c r="Y5">
        <v>82</v>
      </c>
      <c r="Z5">
        <v>86</v>
      </c>
      <c r="AA5">
        <v>80</v>
      </c>
      <c r="AB5">
        <v>79</v>
      </c>
      <c r="AC5">
        <v>78</v>
      </c>
      <c r="AD5">
        <v>79</v>
      </c>
      <c r="AE5">
        <v>89</v>
      </c>
      <c r="AF5">
        <v>90</v>
      </c>
      <c r="AG5">
        <v>79</v>
      </c>
      <c r="AH5">
        <v>81</v>
      </c>
      <c r="AI5">
        <v>82</v>
      </c>
      <c r="AJ5">
        <v>84</v>
      </c>
      <c r="AK5">
        <v>88</v>
      </c>
      <c r="AL5">
        <v>85</v>
      </c>
      <c r="AM5">
        <v>83</v>
      </c>
      <c r="AN5">
        <v>86</v>
      </c>
      <c r="AR5">
        <v>88</v>
      </c>
      <c r="AS5">
        <v>82</v>
      </c>
      <c r="AT5">
        <v>80</v>
      </c>
      <c r="AU5">
        <v>82</v>
      </c>
      <c r="AV5">
        <v>84</v>
      </c>
      <c r="AW5">
        <v>82</v>
      </c>
      <c r="AZ5">
        <v>77</v>
      </c>
      <c r="BA5">
        <v>83</v>
      </c>
      <c r="BB5">
        <v>82</v>
      </c>
      <c r="BC5">
        <v>83</v>
      </c>
      <c r="BD5">
        <v>82</v>
      </c>
      <c r="BE5">
        <v>82</v>
      </c>
      <c r="BF5">
        <v>77</v>
      </c>
      <c r="BG5">
        <v>78</v>
      </c>
      <c r="BH5">
        <v>93</v>
      </c>
      <c r="BI5">
        <v>88</v>
      </c>
      <c r="BJ5">
        <v>78</v>
      </c>
      <c r="BK5">
        <v>81</v>
      </c>
      <c r="BL5">
        <v>80</v>
      </c>
      <c r="BM5">
        <v>85</v>
      </c>
      <c r="BN5">
        <v>83</v>
      </c>
      <c r="BO5">
        <v>82</v>
      </c>
      <c r="BP5">
        <v>84</v>
      </c>
      <c r="BQ5">
        <v>85</v>
      </c>
      <c r="BR5" s="13">
        <v>82</v>
      </c>
      <c r="BS5">
        <v>86</v>
      </c>
      <c r="BT5">
        <v>91</v>
      </c>
      <c r="BU5">
        <v>89</v>
      </c>
      <c r="BV5">
        <v>80</v>
      </c>
      <c r="BW5">
        <v>88</v>
      </c>
      <c r="BX5">
        <v>84</v>
      </c>
      <c r="BY5">
        <v>91</v>
      </c>
      <c r="BZ5">
        <v>84</v>
      </c>
      <c r="CA5">
        <v>86</v>
      </c>
      <c r="CB5">
        <v>80</v>
      </c>
      <c r="CC5">
        <v>85</v>
      </c>
      <c r="CD5">
        <v>87</v>
      </c>
      <c r="CE5">
        <v>87</v>
      </c>
      <c r="CF5">
        <v>83</v>
      </c>
      <c r="CG5">
        <v>85</v>
      </c>
      <c r="CH5" t="s">
        <v>1033</v>
      </c>
      <c r="CI5" t="s">
        <v>994</v>
      </c>
      <c r="CJ5" t="s">
        <v>1152</v>
      </c>
      <c r="CK5" s="23" t="s">
        <v>996</v>
      </c>
      <c r="CT5" s="31">
        <v>89.6666666666667</v>
      </c>
      <c r="CU5">
        <v>85.3333333333333</v>
      </c>
      <c r="CV5">
        <v>81</v>
      </c>
      <c r="CW5">
        <v>85</v>
      </c>
      <c r="CX5" s="13">
        <v>83.75</v>
      </c>
      <c r="CY5" s="13">
        <v>87.571428571428598</v>
      </c>
      <c r="CZ5" s="13">
        <f t="shared" si="0"/>
        <v>84.333333333333329</v>
      </c>
      <c r="DA5" s="13">
        <f t="shared" si="1"/>
        <v>84</v>
      </c>
      <c r="DB5" s="13">
        <f t="shared" si="2"/>
        <v>82.5</v>
      </c>
      <c r="DC5" s="13">
        <f t="shared" si="3"/>
        <v>82.166666666666671</v>
      </c>
      <c r="DD5" s="13">
        <f t="shared" si="4"/>
        <v>83.166666666666671</v>
      </c>
      <c r="DE5" s="13">
        <f t="shared" si="5"/>
        <v>85</v>
      </c>
      <c r="DF5" s="13">
        <f t="shared" si="6"/>
        <v>82</v>
      </c>
      <c r="DG5" s="13">
        <f t="shared" si="7"/>
        <v>84</v>
      </c>
      <c r="DH5" s="13">
        <f t="shared" si="8"/>
        <v>82</v>
      </c>
      <c r="DI5" s="13">
        <f t="shared" si="9"/>
        <v>82.5</v>
      </c>
      <c r="DJ5" s="13">
        <f t="shared" si="10"/>
        <v>80</v>
      </c>
      <c r="DK5" s="13">
        <f t="shared" si="11"/>
        <v>77.5</v>
      </c>
      <c r="DL5" s="13">
        <f t="shared" si="12"/>
        <v>79.5</v>
      </c>
      <c r="DM5" s="13">
        <f t="shared" si="13"/>
        <v>90.5</v>
      </c>
      <c r="DN5" s="13">
        <f t="shared" si="14"/>
        <v>82.5</v>
      </c>
      <c r="DO5" s="13">
        <f t="shared" si="15"/>
        <v>87</v>
      </c>
      <c r="DP5" s="13">
        <f t="shared" si="16"/>
        <v>83.5</v>
      </c>
      <c r="DQ5" s="13">
        <f t="shared" si="17"/>
        <v>84.75</v>
      </c>
      <c r="DR5" s="13">
        <f t="shared" si="18"/>
        <v>85</v>
      </c>
      <c r="DS5">
        <f t="shared" si="19"/>
        <v>85.75</v>
      </c>
      <c r="DT5">
        <f t="shared" si="20"/>
        <v>82.5</v>
      </c>
      <c r="DU5">
        <f t="shared" si="21"/>
        <v>84.5</v>
      </c>
      <c r="DV5" s="31">
        <f t="shared" si="22"/>
        <v>83.821003401360556</v>
      </c>
    </row>
    <row r="6" spans="1:126">
      <c r="A6">
        <v>5</v>
      </c>
      <c r="B6">
        <f>'DATA US'!B19</f>
        <v>222310005</v>
      </c>
      <c r="C6" t="str">
        <f>'DATA US'!C19</f>
        <v>0072858452</v>
      </c>
      <c r="D6">
        <f>'DATA US'!B101</f>
        <v>222310084</v>
      </c>
      <c r="E6" t="str">
        <f>'DATA US'!C101</f>
        <v>0074594754</v>
      </c>
      <c r="F6" t="str">
        <f>'DATA US'!F101</f>
        <v>Bekasi</v>
      </c>
      <c r="G6" s="5" t="s">
        <v>271</v>
      </c>
      <c r="H6" t="str">
        <f>'DATA US'!D101</f>
        <v>DAVINA KEISYAH PUTRI</v>
      </c>
      <c r="I6">
        <v>85</v>
      </c>
      <c r="J6">
        <v>83</v>
      </c>
      <c r="K6">
        <v>88</v>
      </c>
      <c r="L6">
        <v>88</v>
      </c>
      <c r="M6">
        <v>85</v>
      </c>
      <c r="N6">
        <v>86</v>
      </c>
      <c r="O6">
        <v>85</v>
      </c>
      <c r="P6">
        <v>86</v>
      </c>
      <c r="Q6">
        <v>85</v>
      </c>
      <c r="R6">
        <v>84</v>
      </c>
      <c r="S6">
        <v>84</v>
      </c>
      <c r="T6">
        <v>86</v>
      </c>
      <c r="U6">
        <v>79</v>
      </c>
      <c r="V6">
        <v>81</v>
      </c>
      <c r="W6">
        <v>89</v>
      </c>
      <c r="X6">
        <v>91</v>
      </c>
      <c r="Y6">
        <v>86</v>
      </c>
      <c r="Z6">
        <v>87</v>
      </c>
      <c r="AA6">
        <v>84</v>
      </c>
      <c r="AB6">
        <v>83</v>
      </c>
      <c r="AC6">
        <v>79</v>
      </c>
      <c r="AD6">
        <v>78</v>
      </c>
      <c r="AE6">
        <v>89</v>
      </c>
      <c r="AF6">
        <v>87</v>
      </c>
      <c r="AG6">
        <v>84</v>
      </c>
      <c r="AH6">
        <v>78</v>
      </c>
      <c r="AI6">
        <v>86</v>
      </c>
      <c r="AJ6">
        <v>86</v>
      </c>
      <c r="AK6">
        <v>87</v>
      </c>
      <c r="AL6">
        <v>85</v>
      </c>
      <c r="AM6">
        <v>86</v>
      </c>
      <c r="AN6">
        <v>86</v>
      </c>
      <c r="AR6">
        <v>84</v>
      </c>
      <c r="AS6">
        <v>80</v>
      </c>
      <c r="AT6">
        <v>80</v>
      </c>
      <c r="AU6">
        <v>82</v>
      </c>
      <c r="AV6">
        <v>85</v>
      </c>
      <c r="AW6">
        <v>83</v>
      </c>
      <c r="AZ6">
        <v>80</v>
      </c>
      <c r="BA6">
        <v>81</v>
      </c>
      <c r="BB6">
        <v>84</v>
      </c>
      <c r="BC6">
        <v>85</v>
      </c>
      <c r="BD6">
        <v>84</v>
      </c>
      <c r="BE6">
        <v>85</v>
      </c>
      <c r="BF6">
        <v>77</v>
      </c>
      <c r="BG6">
        <v>88</v>
      </c>
      <c r="BH6">
        <v>93</v>
      </c>
      <c r="BI6">
        <v>87</v>
      </c>
      <c r="BJ6">
        <v>79</v>
      </c>
      <c r="BK6">
        <v>82</v>
      </c>
      <c r="BL6">
        <v>79</v>
      </c>
      <c r="BM6">
        <v>85</v>
      </c>
      <c r="BN6">
        <v>85</v>
      </c>
      <c r="BO6">
        <v>85</v>
      </c>
      <c r="BP6">
        <v>84</v>
      </c>
      <c r="BQ6">
        <v>85</v>
      </c>
      <c r="BR6" s="13">
        <v>90</v>
      </c>
      <c r="BS6">
        <v>85</v>
      </c>
      <c r="BT6">
        <v>91</v>
      </c>
      <c r="BU6">
        <v>91</v>
      </c>
      <c r="BV6">
        <v>85</v>
      </c>
      <c r="BW6">
        <v>89</v>
      </c>
      <c r="BX6">
        <v>87</v>
      </c>
      <c r="BY6">
        <v>92</v>
      </c>
      <c r="BZ6">
        <v>85</v>
      </c>
      <c r="CA6">
        <v>86</v>
      </c>
      <c r="CB6">
        <v>81</v>
      </c>
      <c r="CC6">
        <v>86</v>
      </c>
      <c r="CD6">
        <v>87</v>
      </c>
      <c r="CE6">
        <v>87</v>
      </c>
      <c r="CF6">
        <v>85</v>
      </c>
      <c r="CG6">
        <v>87</v>
      </c>
      <c r="CH6" t="s">
        <v>1033</v>
      </c>
      <c r="CI6" t="s">
        <v>994</v>
      </c>
      <c r="CJ6" t="s">
        <v>1153</v>
      </c>
      <c r="CK6" s="23" t="s">
        <v>996</v>
      </c>
      <c r="CT6" s="31">
        <v>88.6666666666667</v>
      </c>
      <c r="CU6">
        <v>86.3333333333333</v>
      </c>
      <c r="CV6">
        <v>88</v>
      </c>
      <c r="CW6">
        <v>82</v>
      </c>
      <c r="CX6" s="13">
        <v>83.25</v>
      </c>
      <c r="CY6" s="13">
        <v>87.571428571428598</v>
      </c>
      <c r="CZ6" s="13">
        <f t="shared" si="0"/>
        <v>85.833333333333329</v>
      </c>
      <c r="DA6" s="13">
        <f t="shared" si="1"/>
        <v>85</v>
      </c>
      <c r="DB6" s="13">
        <f t="shared" si="2"/>
        <v>83.333333333333329</v>
      </c>
      <c r="DC6" s="13">
        <f t="shared" si="3"/>
        <v>85.5</v>
      </c>
      <c r="DD6" s="13">
        <f t="shared" si="4"/>
        <v>84.333333333333329</v>
      </c>
      <c r="DE6" s="13">
        <f t="shared" si="5"/>
        <v>82</v>
      </c>
      <c r="DF6" s="13">
        <f t="shared" si="6"/>
        <v>82.5</v>
      </c>
      <c r="DG6" s="13">
        <f t="shared" si="7"/>
        <v>86</v>
      </c>
      <c r="DH6" s="13">
        <f t="shared" si="8"/>
        <v>84.5</v>
      </c>
      <c r="DI6" s="13">
        <f t="shared" si="9"/>
        <v>84.5</v>
      </c>
      <c r="DJ6" s="13">
        <f t="shared" si="10"/>
        <v>80.5</v>
      </c>
      <c r="DK6" s="13">
        <f t="shared" si="11"/>
        <v>82.5</v>
      </c>
      <c r="DL6" s="13">
        <f t="shared" si="12"/>
        <v>80.5</v>
      </c>
      <c r="DM6" s="13">
        <f t="shared" si="13"/>
        <v>90</v>
      </c>
      <c r="DN6" s="13">
        <f t="shared" si="14"/>
        <v>82</v>
      </c>
      <c r="DO6" s="13">
        <f t="shared" si="15"/>
        <v>89.25</v>
      </c>
      <c r="DP6" s="13">
        <f t="shared" si="16"/>
        <v>84.75</v>
      </c>
      <c r="DQ6" s="13">
        <f t="shared" si="17"/>
        <v>85.25</v>
      </c>
      <c r="DR6" s="13">
        <f t="shared" si="18"/>
        <v>85.5</v>
      </c>
      <c r="DS6">
        <f t="shared" si="19"/>
        <v>88.25</v>
      </c>
      <c r="DT6">
        <f t="shared" si="20"/>
        <v>83.333333333333329</v>
      </c>
      <c r="DU6">
        <f t="shared" si="21"/>
        <v>86</v>
      </c>
      <c r="DV6" s="31">
        <f t="shared" si="22"/>
        <v>84.898384353741491</v>
      </c>
    </row>
    <row r="7" spans="1:126">
      <c r="A7">
        <v>6</v>
      </c>
      <c r="B7">
        <f>'DATA US'!B20</f>
        <v>222310006</v>
      </c>
      <c r="C7" t="str">
        <f>'DATA US'!C20</f>
        <v>0073210618</v>
      </c>
      <c r="D7">
        <f>'DATA US'!B102</f>
        <v>222310085</v>
      </c>
      <c r="E7" t="str">
        <f>'DATA US'!C102</f>
        <v>0071365415</v>
      </c>
      <c r="F7" t="str">
        <f>'DATA US'!F102</f>
        <v>Bekasi</v>
      </c>
      <c r="G7" s="5" t="s">
        <v>549</v>
      </c>
      <c r="H7" t="str">
        <f>'DATA US'!D102</f>
        <v>DINA SUBARKAH</v>
      </c>
      <c r="I7">
        <v>82</v>
      </c>
      <c r="J7">
        <v>81</v>
      </c>
      <c r="K7">
        <v>88</v>
      </c>
      <c r="L7">
        <v>88</v>
      </c>
      <c r="M7">
        <v>84</v>
      </c>
      <c r="N7">
        <v>84</v>
      </c>
      <c r="O7">
        <v>85</v>
      </c>
      <c r="P7">
        <v>85</v>
      </c>
      <c r="Q7">
        <v>83</v>
      </c>
      <c r="R7">
        <v>84</v>
      </c>
      <c r="S7">
        <v>84</v>
      </c>
      <c r="T7">
        <v>86</v>
      </c>
      <c r="U7">
        <v>79</v>
      </c>
      <c r="V7">
        <v>79</v>
      </c>
      <c r="W7">
        <v>89</v>
      </c>
      <c r="X7">
        <v>91</v>
      </c>
      <c r="Y7">
        <v>89</v>
      </c>
      <c r="Z7">
        <v>89</v>
      </c>
      <c r="AA7">
        <v>75</v>
      </c>
      <c r="AB7">
        <v>76</v>
      </c>
      <c r="AC7">
        <v>85</v>
      </c>
      <c r="AD7">
        <v>79</v>
      </c>
      <c r="AE7">
        <v>89</v>
      </c>
      <c r="AF7">
        <v>92</v>
      </c>
      <c r="AG7">
        <v>82</v>
      </c>
      <c r="AH7">
        <v>80</v>
      </c>
      <c r="AI7">
        <v>81</v>
      </c>
      <c r="AJ7">
        <v>83</v>
      </c>
      <c r="AK7">
        <v>88</v>
      </c>
      <c r="AL7">
        <v>85</v>
      </c>
      <c r="AM7">
        <v>87</v>
      </c>
      <c r="AN7">
        <v>88</v>
      </c>
      <c r="AR7">
        <v>84</v>
      </c>
      <c r="AS7">
        <v>82</v>
      </c>
      <c r="AT7">
        <v>80</v>
      </c>
      <c r="AU7">
        <v>82</v>
      </c>
      <c r="AV7">
        <v>90</v>
      </c>
      <c r="AW7">
        <v>83</v>
      </c>
      <c r="AZ7">
        <v>78</v>
      </c>
      <c r="BA7">
        <v>83</v>
      </c>
      <c r="BB7">
        <v>83</v>
      </c>
      <c r="BC7">
        <v>84</v>
      </c>
      <c r="BD7">
        <v>84</v>
      </c>
      <c r="BE7">
        <v>83</v>
      </c>
      <c r="BF7">
        <v>78</v>
      </c>
      <c r="BG7">
        <v>87</v>
      </c>
      <c r="BH7">
        <v>94</v>
      </c>
      <c r="BI7">
        <v>90</v>
      </c>
      <c r="BJ7">
        <v>78</v>
      </c>
      <c r="BK7">
        <v>82</v>
      </c>
      <c r="BL7">
        <v>80</v>
      </c>
      <c r="BM7">
        <v>85</v>
      </c>
      <c r="BN7">
        <v>83</v>
      </c>
      <c r="BO7">
        <v>83</v>
      </c>
      <c r="BP7">
        <v>84</v>
      </c>
      <c r="BQ7">
        <v>85</v>
      </c>
      <c r="BR7" s="13">
        <v>88</v>
      </c>
      <c r="BS7">
        <v>87</v>
      </c>
      <c r="BT7">
        <v>90</v>
      </c>
      <c r="BU7">
        <v>88</v>
      </c>
      <c r="BV7">
        <v>87</v>
      </c>
      <c r="BW7">
        <v>89</v>
      </c>
      <c r="BX7">
        <v>85</v>
      </c>
      <c r="BY7">
        <v>90</v>
      </c>
      <c r="BZ7">
        <v>84</v>
      </c>
      <c r="CA7">
        <v>86</v>
      </c>
      <c r="CB7">
        <v>81</v>
      </c>
      <c r="CC7">
        <v>84</v>
      </c>
      <c r="CD7">
        <v>87</v>
      </c>
      <c r="CE7">
        <v>87</v>
      </c>
      <c r="CF7">
        <v>85</v>
      </c>
      <c r="CG7">
        <v>86</v>
      </c>
      <c r="CH7" s="17" t="s">
        <v>1033</v>
      </c>
      <c r="CI7" s="17" t="s">
        <v>1154</v>
      </c>
      <c r="CJ7" s="17" t="s">
        <v>1155</v>
      </c>
      <c r="CK7" s="23" t="s">
        <v>996</v>
      </c>
      <c r="CL7" s="17" t="s">
        <v>1033</v>
      </c>
      <c r="CM7" s="17" t="s">
        <v>1154</v>
      </c>
      <c r="CN7" s="17" t="s">
        <v>1156</v>
      </c>
      <c r="CO7" s="23" t="s">
        <v>996</v>
      </c>
      <c r="CP7" s="26"/>
      <c r="CQ7" s="26"/>
      <c r="CR7" s="26"/>
      <c r="CS7" s="26"/>
      <c r="CT7" s="31">
        <v>90.6666666666667</v>
      </c>
      <c r="CU7">
        <v>84.3333333333333</v>
      </c>
      <c r="CV7">
        <v>95</v>
      </c>
      <c r="CW7">
        <v>87</v>
      </c>
      <c r="CX7" s="13">
        <v>83</v>
      </c>
      <c r="CY7" s="13">
        <v>87.571428571428598</v>
      </c>
      <c r="CZ7" s="13">
        <f t="shared" si="0"/>
        <v>84.5</v>
      </c>
      <c r="DA7" s="13">
        <f t="shared" si="1"/>
        <v>84.5</v>
      </c>
      <c r="DB7" s="13">
        <f t="shared" si="2"/>
        <v>82.666666666666671</v>
      </c>
      <c r="DC7" s="13">
        <f t="shared" si="3"/>
        <v>86</v>
      </c>
      <c r="DD7" s="13">
        <f t="shared" si="4"/>
        <v>83.166666666666671</v>
      </c>
      <c r="DE7" s="13">
        <f t="shared" si="5"/>
        <v>83</v>
      </c>
      <c r="DF7" s="13">
        <f t="shared" si="6"/>
        <v>83.75</v>
      </c>
      <c r="DG7" s="13">
        <f t="shared" si="7"/>
        <v>85.5</v>
      </c>
      <c r="DH7" s="13">
        <f t="shared" si="8"/>
        <v>83.5</v>
      </c>
      <c r="DI7" s="13">
        <f t="shared" si="9"/>
        <v>83.5</v>
      </c>
      <c r="DJ7" s="13">
        <f t="shared" si="10"/>
        <v>80.5</v>
      </c>
      <c r="DK7" s="13">
        <f t="shared" si="11"/>
        <v>82.5</v>
      </c>
      <c r="DL7" s="13">
        <f t="shared" si="12"/>
        <v>80</v>
      </c>
      <c r="DM7" s="13">
        <f t="shared" si="13"/>
        <v>92</v>
      </c>
      <c r="DN7" s="13">
        <f t="shared" si="14"/>
        <v>82.5</v>
      </c>
      <c r="DO7" s="13">
        <f t="shared" si="15"/>
        <v>88.25</v>
      </c>
      <c r="DP7" s="13">
        <f t="shared" si="16"/>
        <v>83.75</v>
      </c>
      <c r="DQ7" s="13">
        <f t="shared" si="17"/>
        <v>84.75</v>
      </c>
      <c r="DR7" s="13">
        <f t="shared" si="18"/>
        <v>85</v>
      </c>
      <c r="DS7">
        <f t="shared" si="19"/>
        <v>87.75</v>
      </c>
      <c r="DT7">
        <f t="shared" si="20"/>
        <v>82.666666666666671</v>
      </c>
      <c r="DU7">
        <f t="shared" si="21"/>
        <v>87.5</v>
      </c>
      <c r="DV7" s="31">
        <f t="shared" si="22"/>
        <v>85.17219387755101</v>
      </c>
    </row>
    <row r="8" spans="1:126">
      <c r="A8">
        <v>7</v>
      </c>
      <c r="B8">
        <f>'DATA US'!B21</f>
        <v>222310007</v>
      </c>
      <c r="C8" t="str">
        <f>'DATA US'!C21</f>
        <v>0072762394</v>
      </c>
      <c r="D8">
        <f>'DATA US'!B103</f>
        <v>222310086</v>
      </c>
      <c r="E8" t="str">
        <f>'DATA US'!C103</f>
        <v>0061047101</v>
      </c>
      <c r="F8" t="str">
        <f>'DATA US'!F103</f>
        <v>Bekasi</v>
      </c>
      <c r="G8" s="5" t="s">
        <v>554</v>
      </c>
      <c r="H8" t="str">
        <f>'DATA US'!D103</f>
        <v>ERWIN MAULANA</v>
      </c>
      <c r="I8">
        <v>83</v>
      </c>
      <c r="J8">
        <v>79</v>
      </c>
      <c r="K8">
        <v>89</v>
      </c>
      <c r="L8">
        <v>87</v>
      </c>
      <c r="M8">
        <v>84</v>
      </c>
      <c r="N8">
        <v>85</v>
      </c>
      <c r="O8">
        <v>84</v>
      </c>
      <c r="P8">
        <v>85</v>
      </c>
      <c r="Q8">
        <v>85</v>
      </c>
      <c r="R8">
        <v>85</v>
      </c>
      <c r="S8">
        <v>84</v>
      </c>
      <c r="T8">
        <v>87</v>
      </c>
      <c r="U8">
        <v>80</v>
      </c>
      <c r="V8">
        <v>80</v>
      </c>
      <c r="W8">
        <v>89</v>
      </c>
      <c r="X8">
        <v>90</v>
      </c>
      <c r="Y8">
        <v>88</v>
      </c>
      <c r="Z8">
        <v>89</v>
      </c>
      <c r="AA8">
        <v>78</v>
      </c>
      <c r="AB8">
        <v>82</v>
      </c>
      <c r="AC8">
        <v>86</v>
      </c>
      <c r="AD8">
        <v>83</v>
      </c>
      <c r="AE8">
        <v>87</v>
      </c>
      <c r="AF8">
        <v>95</v>
      </c>
      <c r="AG8">
        <v>80</v>
      </c>
      <c r="AH8">
        <v>81</v>
      </c>
      <c r="AI8">
        <v>85</v>
      </c>
      <c r="AJ8">
        <v>88</v>
      </c>
      <c r="AK8">
        <v>86</v>
      </c>
      <c r="AL8">
        <v>82</v>
      </c>
      <c r="AM8">
        <v>84</v>
      </c>
      <c r="AN8">
        <v>85</v>
      </c>
      <c r="AR8">
        <v>84</v>
      </c>
      <c r="AS8">
        <v>81</v>
      </c>
      <c r="AT8">
        <v>80</v>
      </c>
      <c r="AU8">
        <v>81</v>
      </c>
      <c r="AV8">
        <v>90</v>
      </c>
      <c r="AW8">
        <v>82</v>
      </c>
      <c r="AZ8">
        <v>78</v>
      </c>
      <c r="BA8">
        <v>83</v>
      </c>
      <c r="BB8">
        <v>83</v>
      </c>
      <c r="BC8">
        <v>84</v>
      </c>
      <c r="BD8">
        <v>84</v>
      </c>
      <c r="BE8">
        <v>84</v>
      </c>
      <c r="BF8">
        <v>78</v>
      </c>
      <c r="BG8">
        <v>80</v>
      </c>
      <c r="BH8">
        <v>95</v>
      </c>
      <c r="BI8">
        <v>91</v>
      </c>
      <c r="BJ8">
        <v>81</v>
      </c>
      <c r="BK8">
        <v>84</v>
      </c>
      <c r="BL8">
        <v>84</v>
      </c>
      <c r="BM8">
        <v>84</v>
      </c>
      <c r="BN8">
        <v>85</v>
      </c>
      <c r="BO8">
        <v>86</v>
      </c>
      <c r="BP8">
        <v>84</v>
      </c>
      <c r="BQ8">
        <v>82</v>
      </c>
      <c r="BR8" s="13">
        <v>88</v>
      </c>
      <c r="BS8">
        <v>90</v>
      </c>
      <c r="BT8">
        <v>88</v>
      </c>
      <c r="BU8">
        <v>86</v>
      </c>
      <c r="BV8">
        <v>86</v>
      </c>
      <c r="BW8">
        <v>86</v>
      </c>
      <c r="BX8">
        <v>87</v>
      </c>
      <c r="BY8">
        <v>89</v>
      </c>
      <c r="BZ8">
        <v>84</v>
      </c>
      <c r="CA8">
        <v>87</v>
      </c>
      <c r="CB8">
        <v>80</v>
      </c>
      <c r="CC8">
        <v>86</v>
      </c>
      <c r="CD8">
        <v>87</v>
      </c>
      <c r="CE8">
        <v>87</v>
      </c>
      <c r="CF8">
        <v>82</v>
      </c>
      <c r="CG8">
        <v>86</v>
      </c>
      <c r="CH8" t="s">
        <v>993</v>
      </c>
      <c r="CI8" t="s">
        <v>994</v>
      </c>
      <c r="CJ8" s="291" t="s">
        <v>1157</v>
      </c>
      <c r="CK8" s="24" t="s">
        <v>996</v>
      </c>
      <c r="CL8" s="19" t="s">
        <v>1098</v>
      </c>
      <c r="CM8" s="19" t="s">
        <v>1099</v>
      </c>
      <c r="CN8" s="19" t="s">
        <v>1100</v>
      </c>
      <c r="CO8" s="24" t="s">
        <v>996</v>
      </c>
      <c r="CP8" s="32"/>
      <c r="CQ8" s="32"/>
      <c r="CR8" s="32"/>
      <c r="CS8" s="32"/>
      <c r="CT8" s="31">
        <v>90.6666666666667</v>
      </c>
      <c r="CU8">
        <v>84</v>
      </c>
      <c r="CV8">
        <v>90</v>
      </c>
      <c r="CW8">
        <v>92</v>
      </c>
      <c r="CX8" s="13">
        <v>86.5</v>
      </c>
      <c r="CY8" s="13">
        <v>89.571428571428598</v>
      </c>
      <c r="CZ8" s="13">
        <f t="shared" si="0"/>
        <v>84.5</v>
      </c>
      <c r="DA8" s="13">
        <f t="shared" si="1"/>
        <v>85</v>
      </c>
      <c r="DB8" s="13">
        <f t="shared" si="2"/>
        <v>85.166666666666671</v>
      </c>
      <c r="DC8" s="13">
        <f t="shared" si="3"/>
        <v>86</v>
      </c>
      <c r="DD8" s="13">
        <f t="shared" si="4"/>
        <v>83.666666666666671</v>
      </c>
      <c r="DE8" s="13">
        <f t="shared" si="5"/>
        <v>82.5</v>
      </c>
      <c r="DF8" s="13">
        <f t="shared" si="6"/>
        <v>83.25</v>
      </c>
      <c r="DG8" s="13">
        <f t="shared" si="7"/>
        <v>84</v>
      </c>
      <c r="DH8" s="13">
        <f t="shared" si="8"/>
        <v>84</v>
      </c>
      <c r="DI8" s="13">
        <f t="shared" si="9"/>
        <v>83.5</v>
      </c>
      <c r="DJ8" s="13">
        <f t="shared" si="10"/>
        <v>80.5</v>
      </c>
      <c r="DK8" s="13">
        <f t="shared" si="11"/>
        <v>79</v>
      </c>
      <c r="DL8" s="13">
        <f t="shared" si="12"/>
        <v>82.5</v>
      </c>
      <c r="DM8" s="13">
        <f t="shared" si="13"/>
        <v>93</v>
      </c>
      <c r="DN8" s="13">
        <f t="shared" si="14"/>
        <v>84</v>
      </c>
      <c r="DO8" s="13">
        <f t="shared" si="15"/>
        <v>88</v>
      </c>
      <c r="DP8" s="13">
        <f t="shared" si="16"/>
        <v>84.25</v>
      </c>
      <c r="DQ8" s="13">
        <f t="shared" si="17"/>
        <v>85</v>
      </c>
      <c r="DR8" s="13">
        <f t="shared" si="18"/>
        <v>85.5</v>
      </c>
      <c r="DS8">
        <f t="shared" si="19"/>
        <v>87</v>
      </c>
      <c r="DT8">
        <f t="shared" si="20"/>
        <v>85.166666666666671</v>
      </c>
      <c r="DU8">
        <f t="shared" si="21"/>
        <v>84.5</v>
      </c>
      <c r="DV8" s="31">
        <f t="shared" si="22"/>
        <v>85.454931972789112</v>
      </c>
    </row>
    <row r="9" spans="1:126">
      <c r="A9">
        <v>8</v>
      </c>
      <c r="B9">
        <f>'DATA US'!B22</f>
        <v>222310008</v>
      </c>
      <c r="C9" t="str">
        <f>'DATA US'!C22</f>
        <v>0078607611</v>
      </c>
      <c r="D9">
        <f>'DATA US'!B104</f>
        <v>222310087</v>
      </c>
      <c r="E9" t="str">
        <f>'DATA US'!C104</f>
        <v>0061823698</v>
      </c>
      <c r="F9" t="str">
        <f>'DATA US'!F104</f>
        <v>Bekasi</v>
      </c>
      <c r="G9" s="5" t="s">
        <v>560</v>
      </c>
      <c r="H9" t="str">
        <f>'DATA US'!D104</f>
        <v>GITA AMELIA</v>
      </c>
      <c r="I9">
        <v>80</v>
      </c>
      <c r="J9">
        <v>81</v>
      </c>
      <c r="K9">
        <v>88</v>
      </c>
      <c r="L9">
        <v>87</v>
      </c>
      <c r="M9">
        <v>83</v>
      </c>
      <c r="N9">
        <v>84</v>
      </c>
      <c r="O9">
        <v>83</v>
      </c>
      <c r="P9">
        <v>85</v>
      </c>
      <c r="Q9">
        <v>84</v>
      </c>
      <c r="R9">
        <v>83</v>
      </c>
      <c r="S9">
        <v>83</v>
      </c>
      <c r="T9">
        <v>85</v>
      </c>
      <c r="U9">
        <v>80</v>
      </c>
      <c r="V9">
        <v>81</v>
      </c>
      <c r="W9">
        <v>88</v>
      </c>
      <c r="X9">
        <v>90</v>
      </c>
      <c r="Y9">
        <v>87</v>
      </c>
      <c r="Z9">
        <v>88</v>
      </c>
      <c r="AA9">
        <v>75</v>
      </c>
      <c r="AB9">
        <v>76</v>
      </c>
      <c r="AC9">
        <v>80</v>
      </c>
      <c r="AD9">
        <v>79</v>
      </c>
      <c r="AE9">
        <v>85</v>
      </c>
      <c r="AF9">
        <v>92</v>
      </c>
      <c r="AG9">
        <v>77</v>
      </c>
      <c r="AH9">
        <v>78</v>
      </c>
      <c r="AI9">
        <v>82</v>
      </c>
      <c r="AJ9">
        <v>83</v>
      </c>
      <c r="AK9">
        <v>87</v>
      </c>
      <c r="AL9">
        <v>82</v>
      </c>
      <c r="AM9">
        <v>85</v>
      </c>
      <c r="AN9">
        <v>88</v>
      </c>
      <c r="AR9">
        <v>88</v>
      </c>
      <c r="AS9">
        <v>80</v>
      </c>
      <c r="AT9">
        <v>80</v>
      </c>
      <c r="AU9">
        <v>82</v>
      </c>
      <c r="AV9">
        <v>90</v>
      </c>
      <c r="AW9">
        <v>81</v>
      </c>
      <c r="AZ9">
        <v>77</v>
      </c>
      <c r="BA9">
        <v>85</v>
      </c>
      <c r="BB9">
        <v>82</v>
      </c>
      <c r="BC9">
        <v>83</v>
      </c>
      <c r="BD9">
        <v>83</v>
      </c>
      <c r="BE9">
        <v>84</v>
      </c>
      <c r="BF9">
        <v>78</v>
      </c>
      <c r="BG9">
        <v>87</v>
      </c>
      <c r="BH9">
        <v>89</v>
      </c>
      <c r="BI9">
        <v>90</v>
      </c>
      <c r="BJ9">
        <v>78</v>
      </c>
      <c r="BK9">
        <v>80</v>
      </c>
      <c r="BL9">
        <v>83</v>
      </c>
      <c r="BM9">
        <v>85</v>
      </c>
      <c r="BN9">
        <v>83</v>
      </c>
      <c r="BO9">
        <v>83</v>
      </c>
      <c r="BP9">
        <v>84</v>
      </c>
      <c r="BQ9">
        <v>82</v>
      </c>
      <c r="BR9" s="13">
        <v>90</v>
      </c>
      <c r="BS9">
        <v>85</v>
      </c>
      <c r="BT9">
        <v>88</v>
      </c>
      <c r="BU9">
        <v>87</v>
      </c>
      <c r="BV9">
        <v>82</v>
      </c>
      <c r="BW9">
        <v>84</v>
      </c>
      <c r="BX9">
        <v>84</v>
      </c>
      <c r="BY9">
        <v>90</v>
      </c>
      <c r="BZ9">
        <v>85</v>
      </c>
      <c r="CA9">
        <v>86</v>
      </c>
      <c r="CB9">
        <v>81</v>
      </c>
      <c r="CC9">
        <v>86</v>
      </c>
      <c r="CD9">
        <v>87</v>
      </c>
      <c r="CE9">
        <v>87</v>
      </c>
      <c r="CF9">
        <v>82</v>
      </c>
      <c r="CG9">
        <v>85</v>
      </c>
      <c r="CH9" s="17" t="s">
        <v>997</v>
      </c>
      <c r="CI9" s="17" t="s">
        <v>1049</v>
      </c>
      <c r="CJ9" s="18" t="s">
        <v>1158</v>
      </c>
      <c r="CK9" s="17" t="s">
        <v>1000</v>
      </c>
      <c r="CT9" s="31">
        <v>90.3333333333333</v>
      </c>
      <c r="CU9">
        <v>84.3333333333333</v>
      </c>
      <c r="CV9">
        <v>84</v>
      </c>
      <c r="CW9">
        <v>83</v>
      </c>
      <c r="CX9" s="13">
        <v>82.25</v>
      </c>
      <c r="CY9" s="13">
        <v>87.285714285714306</v>
      </c>
      <c r="CZ9" s="13">
        <f t="shared" si="0"/>
        <v>83.833333333333329</v>
      </c>
      <c r="DA9" s="13">
        <f t="shared" si="1"/>
        <v>83.833333333333329</v>
      </c>
      <c r="DB9" s="13">
        <f t="shared" si="2"/>
        <v>81.166666666666671</v>
      </c>
      <c r="DC9" s="13">
        <f t="shared" si="3"/>
        <v>85.666666666666671</v>
      </c>
      <c r="DD9" s="13">
        <f t="shared" si="4"/>
        <v>81.5</v>
      </c>
      <c r="DE9" s="13">
        <f t="shared" si="5"/>
        <v>84</v>
      </c>
      <c r="DF9" s="13">
        <f t="shared" si="6"/>
        <v>83.25</v>
      </c>
      <c r="DG9" s="13">
        <f t="shared" si="7"/>
        <v>83.5</v>
      </c>
      <c r="DH9" s="13">
        <f t="shared" si="8"/>
        <v>83.5</v>
      </c>
      <c r="DI9" s="13">
        <f t="shared" si="9"/>
        <v>82.5</v>
      </c>
      <c r="DJ9" s="13">
        <f t="shared" si="10"/>
        <v>81</v>
      </c>
      <c r="DK9" s="13">
        <f t="shared" si="11"/>
        <v>82.5</v>
      </c>
      <c r="DL9" s="13">
        <f t="shared" si="12"/>
        <v>79</v>
      </c>
      <c r="DM9" s="13">
        <f t="shared" si="13"/>
        <v>89.5</v>
      </c>
      <c r="DN9" s="13">
        <f t="shared" si="14"/>
        <v>84</v>
      </c>
      <c r="DO9" s="13">
        <f t="shared" si="15"/>
        <v>87.5</v>
      </c>
      <c r="DP9" s="13">
        <f t="shared" si="16"/>
        <v>83</v>
      </c>
      <c r="DQ9" s="13">
        <f t="shared" si="17"/>
        <v>85.25</v>
      </c>
      <c r="DR9" s="13">
        <f t="shared" si="18"/>
        <v>85.5</v>
      </c>
      <c r="DS9">
        <f t="shared" si="19"/>
        <v>85</v>
      </c>
      <c r="DT9">
        <f t="shared" si="20"/>
        <v>81.166666666666671</v>
      </c>
      <c r="DU9">
        <f t="shared" si="21"/>
        <v>86.5</v>
      </c>
      <c r="DV9" s="31">
        <f t="shared" si="22"/>
        <v>84.066751700680257</v>
      </c>
    </row>
    <row r="10" spans="1:126">
      <c r="A10">
        <v>9</v>
      </c>
      <c r="B10">
        <f>'DATA US'!B23</f>
        <v>222310009</v>
      </c>
      <c r="C10" t="str">
        <f>'DATA US'!C23</f>
        <v>0071107397</v>
      </c>
      <c r="D10">
        <f>'DATA US'!B105</f>
        <v>222310088</v>
      </c>
      <c r="E10" t="str">
        <f>'DATA US'!C105</f>
        <v>3066812278</v>
      </c>
      <c r="F10" t="str">
        <f>'DATA US'!F105</f>
        <v>Bekasi</v>
      </c>
      <c r="G10" s="5" t="s">
        <v>565</v>
      </c>
      <c r="H10" t="str">
        <f>'DATA US'!D105</f>
        <v>IMAS RAHAYU</v>
      </c>
      <c r="I10">
        <v>83</v>
      </c>
      <c r="J10">
        <v>84</v>
      </c>
      <c r="K10">
        <v>90</v>
      </c>
      <c r="L10">
        <v>89</v>
      </c>
      <c r="M10">
        <v>83</v>
      </c>
      <c r="N10">
        <v>84</v>
      </c>
      <c r="O10">
        <v>82</v>
      </c>
      <c r="P10">
        <v>86</v>
      </c>
      <c r="Q10">
        <v>84</v>
      </c>
      <c r="R10">
        <v>84</v>
      </c>
      <c r="S10">
        <v>84</v>
      </c>
      <c r="T10">
        <v>86</v>
      </c>
      <c r="U10">
        <v>80</v>
      </c>
      <c r="V10">
        <v>81</v>
      </c>
      <c r="W10">
        <v>94</v>
      </c>
      <c r="X10">
        <v>97</v>
      </c>
      <c r="Y10">
        <v>93</v>
      </c>
      <c r="Z10">
        <v>93</v>
      </c>
      <c r="AA10">
        <v>80</v>
      </c>
      <c r="AB10">
        <v>81</v>
      </c>
      <c r="AC10">
        <v>79</v>
      </c>
      <c r="AD10">
        <v>79</v>
      </c>
      <c r="AE10">
        <v>85</v>
      </c>
      <c r="AF10">
        <v>91</v>
      </c>
      <c r="AG10">
        <v>84</v>
      </c>
      <c r="AH10">
        <v>79</v>
      </c>
      <c r="AI10">
        <v>87</v>
      </c>
      <c r="AJ10">
        <v>89</v>
      </c>
      <c r="AK10">
        <v>88</v>
      </c>
      <c r="AL10">
        <v>86</v>
      </c>
      <c r="AM10">
        <v>85</v>
      </c>
      <c r="AN10">
        <v>85</v>
      </c>
      <c r="AR10">
        <v>84</v>
      </c>
      <c r="AS10">
        <v>82</v>
      </c>
      <c r="AT10">
        <v>80</v>
      </c>
      <c r="AU10">
        <v>81</v>
      </c>
      <c r="AV10">
        <v>89</v>
      </c>
      <c r="AW10">
        <v>84</v>
      </c>
      <c r="AZ10">
        <v>79</v>
      </c>
      <c r="BA10">
        <v>82</v>
      </c>
      <c r="BB10">
        <v>84</v>
      </c>
      <c r="BC10">
        <v>85</v>
      </c>
      <c r="BD10">
        <v>83</v>
      </c>
      <c r="BE10">
        <v>86</v>
      </c>
      <c r="BF10">
        <v>78</v>
      </c>
      <c r="BG10">
        <v>90</v>
      </c>
      <c r="BH10">
        <v>97</v>
      </c>
      <c r="BI10">
        <v>95</v>
      </c>
      <c r="BJ10">
        <v>79</v>
      </c>
      <c r="BK10">
        <v>80</v>
      </c>
      <c r="BL10">
        <v>81</v>
      </c>
      <c r="BM10">
        <v>86</v>
      </c>
      <c r="BN10">
        <v>83</v>
      </c>
      <c r="BO10">
        <v>84</v>
      </c>
      <c r="BP10">
        <v>85</v>
      </c>
      <c r="BQ10">
        <v>86</v>
      </c>
      <c r="BR10" s="13">
        <v>91</v>
      </c>
      <c r="BS10">
        <v>86</v>
      </c>
      <c r="BT10">
        <v>87</v>
      </c>
      <c r="BU10">
        <v>86</v>
      </c>
      <c r="BV10">
        <v>87</v>
      </c>
      <c r="BW10">
        <v>88</v>
      </c>
      <c r="BX10">
        <v>86</v>
      </c>
      <c r="BY10">
        <v>88</v>
      </c>
      <c r="BZ10">
        <v>85</v>
      </c>
      <c r="CA10">
        <v>87</v>
      </c>
      <c r="CB10">
        <v>80</v>
      </c>
      <c r="CC10">
        <v>85</v>
      </c>
      <c r="CD10">
        <v>87</v>
      </c>
      <c r="CE10">
        <v>87</v>
      </c>
      <c r="CF10">
        <v>84</v>
      </c>
      <c r="CG10">
        <v>86</v>
      </c>
      <c r="CH10" s="17" t="s">
        <v>1033</v>
      </c>
      <c r="CI10" s="17" t="s">
        <v>994</v>
      </c>
      <c r="CJ10" s="293" t="s">
        <v>1231</v>
      </c>
      <c r="CK10" s="23"/>
      <c r="CL10" s="17" t="s">
        <v>1159</v>
      </c>
      <c r="CM10" s="17" t="s">
        <v>1085</v>
      </c>
      <c r="CN10" s="17" t="s">
        <v>1086</v>
      </c>
      <c r="CO10" s="26"/>
      <c r="CP10" s="26"/>
      <c r="CQ10" s="26"/>
      <c r="CR10" s="26"/>
      <c r="CS10" s="26"/>
      <c r="CT10" s="31">
        <v>88</v>
      </c>
      <c r="CU10">
        <v>85.6666666666667</v>
      </c>
      <c r="CV10">
        <v>86</v>
      </c>
      <c r="CW10">
        <v>87</v>
      </c>
      <c r="CX10" s="13">
        <v>84</v>
      </c>
      <c r="CY10" s="13">
        <v>87.571428571428598</v>
      </c>
      <c r="CZ10" s="13">
        <f t="shared" si="0"/>
        <v>85.5</v>
      </c>
      <c r="DA10" s="13">
        <f t="shared" si="1"/>
        <v>84.333333333333329</v>
      </c>
      <c r="DB10" s="13">
        <f t="shared" si="2"/>
        <v>82.5</v>
      </c>
      <c r="DC10" s="13">
        <f t="shared" si="3"/>
        <v>89.666666666666671</v>
      </c>
      <c r="DD10" s="13">
        <f t="shared" si="4"/>
        <v>85.5</v>
      </c>
      <c r="DE10" s="13">
        <f t="shared" si="5"/>
        <v>83</v>
      </c>
      <c r="DF10" s="13">
        <f t="shared" si="6"/>
        <v>83.5</v>
      </c>
      <c r="DG10" s="13">
        <f t="shared" si="7"/>
        <v>85</v>
      </c>
      <c r="DH10" s="13">
        <f t="shared" si="8"/>
        <v>84.5</v>
      </c>
      <c r="DI10" s="13">
        <f t="shared" si="9"/>
        <v>84.5</v>
      </c>
      <c r="DJ10" s="13">
        <f t="shared" si="10"/>
        <v>80.5</v>
      </c>
      <c r="DK10" s="13">
        <f t="shared" si="11"/>
        <v>84</v>
      </c>
      <c r="DL10" s="13">
        <f t="shared" si="12"/>
        <v>79.5</v>
      </c>
      <c r="DM10" s="13">
        <f t="shared" si="13"/>
        <v>96</v>
      </c>
      <c r="DN10" s="13">
        <f t="shared" si="14"/>
        <v>83.5</v>
      </c>
      <c r="DO10" s="13">
        <f t="shared" si="15"/>
        <v>87.5</v>
      </c>
      <c r="DP10" s="13">
        <f t="shared" si="16"/>
        <v>84.5</v>
      </c>
      <c r="DQ10" s="13">
        <f t="shared" si="17"/>
        <v>84.75</v>
      </c>
      <c r="DR10" s="13">
        <f t="shared" si="18"/>
        <v>86</v>
      </c>
      <c r="DS10">
        <f t="shared" si="19"/>
        <v>87.25</v>
      </c>
      <c r="DT10">
        <f t="shared" si="20"/>
        <v>82.5</v>
      </c>
      <c r="DU10">
        <f t="shared" si="21"/>
        <v>85</v>
      </c>
      <c r="DV10" s="31">
        <f t="shared" si="22"/>
        <v>85.258503401360556</v>
      </c>
    </row>
    <row r="11" spans="1:126">
      <c r="A11">
        <v>10</v>
      </c>
      <c r="B11">
        <f>'DATA US'!B24</f>
        <v>222310010</v>
      </c>
      <c r="C11" t="str">
        <f>'DATA US'!C24</f>
        <v>0072628439</v>
      </c>
      <c r="D11">
        <f>'DATA US'!B106</f>
        <v>222310089</v>
      </c>
      <c r="E11" t="str">
        <f>'DATA US'!C106</f>
        <v>0073712406</v>
      </c>
      <c r="F11" t="str">
        <f>'DATA US'!F106</f>
        <v>Bekasi</v>
      </c>
      <c r="G11" s="5" t="s">
        <v>570</v>
      </c>
      <c r="H11" t="str">
        <f>'DATA US'!D106</f>
        <v>KAILA ZAHRA</v>
      </c>
      <c r="I11">
        <v>82</v>
      </c>
      <c r="J11">
        <v>82</v>
      </c>
      <c r="K11">
        <v>87</v>
      </c>
      <c r="L11">
        <v>85</v>
      </c>
      <c r="M11">
        <v>83</v>
      </c>
      <c r="N11">
        <v>83</v>
      </c>
      <c r="O11">
        <v>82</v>
      </c>
      <c r="P11">
        <v>85</v>
      </c>
      <c r="Q11">
        <v>83</v>
      </c>
      <c r="R11">
        <v>81</v>
      </c>
      <c r="S11">
        <v>83</v>
      </c>
      <c r="T11">
        <v>85</v>
      </c>
      <c r="U11">
        <v>81</v>
      </c>
      <c r="V11">
        <v>81</v>
      </c>
      <c r="W11">
        <v>88</v>
      </c>
      <c r="X11">
        <v>85</v>
      </c>
      <c r="Y11">
        <v>88</v>
      </c>
      <c r="Z11">
        <v>88</v>
      </c>
      <c r="AA11">
        <v>78</v>
      </c>
      <c r="AB11">
        <v>79</v>
      </c>
      <c r="AC11">
        <v>80</v>
      </c>
      <c r="AD11">
        <v>78</v>
      </c>
      <c r="AE11">
        <v>88</v>
      </c>
      <c r="AF11">
        <v>91</v>
      </c>
      <c r="AG11">
        <v>79</v>
      </c>
      <c r="AH11">
        <v>81</v>
      </c>
      <c r="AI11">
        <v>81</v>
      </c>
      <c r="AJ11">
        <v>83</v>
      </c>
      <c r="AK11">
        <v>86</v>
      </c>
      <c r="AL11">
        <v>82</v>
      </c>
      <c r="AM11">
        <v>84</v>
      </c>
      <c r="AN11">
        <v>86</v>
      </c>
      <c r="AR11">
        <v>88</v>
      </c>
      <c r="AS11">
        <v>85</v>
      </c>
      <c r="AT11">
        <v>83</v>
      </c>
      <c r="AU11">
        <v>82</v>
      </c>
      <c r="AV11">
        <v>82</v>
      </c>
      <c r="AW11">
        <v>81</v>
      </c>
      <c r="AZ11">
        <v>80</v>
      </c>
      <c r="BA11">
        <v>88</v>
      </c>
      <c r="BB11">
        <v>84</v>
      </c>
      <c r="BC11">
        <v>85</v>
      </c>
      <c r="BD11">
        <v>84</v>
      </c>
      <c r="BE11">
        <v>84</v>
      </c>
      <c r="BF11">
        <v>77</v>
      </c>
      <c r="BG11">
        <v>86</v>
      </c>
      <c r="BH11">
        <v>96</v>
      </c>
      <c r="BI11">
        <v>90</v>
      </c>
      <c r="BJ11">
        <v>78</v>
      </c>
      <c r="BK11">
        <v>81</v>
      </c>
      <c r="BL11">
        <v>82</v>
      </c>
      <c r="BM11">
        <v>85</v>
      </c>
      <c r="BN11">
        <v>85</v>
      </c>
      <c r="BO11">
        <v>83</v>
      </c>
      <c r="BP11">
        <v>84</v>
      </c>
      <c r="BQ11">
        <v>82</v>
      </c>
      <c r="BR11" s="13">
        <v>87</v>
      </c>
      <c r="BS11">
        <v>87</v>
      </c>
      <c r="BT11">
        <v>88</v>
      </c>
      <c r="BU11">
        <v>88</v>
      </c>
      <c r="BV11">
        <v>85</v>
      </c>
      <c r="BW11">
        <v>83</v>
      </c>
      <c r="BX11">
        <v>85</v>
      </c>
      <c r="BY11">
        <v>89</v>
      </c>
      <c r="BZ11">
        <v>85</v>
      </c>
      <c r="CA11">
        <v>86</v>
      </c>
      <c r="CB11">
        <v>80</v>
      </c>
      <c r="CC11">
        <v>84</v>
      </c>
      <c r="CD11">
        <v>87</v>
      </c>
      <c r="CE11">
        <v>87</v>
      </c>
      <c r="CF11">
        <v>84</v>
      </c>
      <c r="CG11">
        <v>85</v>
      </c>
      <c r="CH11" s="17" t="s">
        <v>1033</v>
      </c>
      <c r="CI11" s="17" t="s">
        <v>994</v>
      </c>
      <c r="CJ11" s="17" t="s">
        <v>1156</v>
      </c>
      <c r="CK11" s="17" t="s">
        <v>996</v>
      </c>
      <c r="CT11" s="31">
        <v>90</v>
      </c>
      <c r="CU11">
        <v>84.3333333333333</v>
      </c>
      <c r="CV11">
        <v>82</v>
      </c>
      <c r="CW11">
        <v>92</v>
      </c>
      <c r="CX11" s="13">
        <v>83</v>
      </c>
      <c r="CY11" s="13">
        <v>88.285714285714306</v>
      </c>
      <c r="CZ11" s="13">
        <f t="shared" si="0"/>
        <v>83.666666666666671</v>
      </c>
      <c r="DA11" s="13">
        <f t="shared" si="1"/>
        <v>83.166666666666671</v>
      </c>
      <c r="DB11" s="13">
        <f t="shared" si="2"/>
        <v>82.333333333333329</v>
      </c>
      <c r="DC11" s="13">
        <f t="shared" si="3"/>
        <v>85.166666666666671</v>
      </c>
      <c r="DD11" s="13">
        <f t="shared" si="4"/>
        <v>82</v>
      </c>
      <c r="DE11" s="13">
        <f t="shared" si="5"/>
        <v>86.5</v>
      </c>
      <c r="DF11" s="13">
        <f t="shared" si="6"/>
        <v>82</v>
      </c>
      <c r="DG11" s="13">
        <f t="shared" si="7"/>
        <v>84.5</v>
      </c>
      <c r="DH11" s="13">
        <f t="shared" si="8"/>
        <v>84</v>
      </c>
      <c r="DI11" s="13">
        <f t="shared" si="9"/>
        <v>84.5</v>
      </c>
      <c r="DJ11" s="13">
        <f t="shared" si="10"/>
        <v>84</v>
      </c>
      <c r="DK11" s="13">
        <f t="shared" si="11"/>
        <v>81.5</v>
      </c>
      <c r="DL11" s="13">
        <f t="shared" si="12"/>
        <v>79.5</v>
      </c>
      <c r="DM11" s="13">
        <f t="shared" si="13"/>
        <v>93</v>
      </c>
      <c r="DN11" s="13">
        <f t="shared" si="14"/>
        <v>83.5</v>
      </c>
      <c r="DO11" s="13">
        <f t="shared" si="15"/>
        <v>87.5</v>
      </c>
      <c r="DP11" s="13">
        <f t="shared" si="16"/>
        <v>83.5</v>
      </c>
      <c r="DQ11" s="13">
        <f t="shared" si="17"/>
        <v>84.5</v>
      </c>
      <c r="DR11" s="13">
        <f t="shared" si="18"/>
        <v>85.5</v>
      </c>
      <c r="DS11">
        <f t="shared" si="19"/>
        <v>85.5</v>
      </c>
      <c r="DT11">
        <f t="shared" si="20"/>
        <v>82.333333333333329</v>
      </c>
      <c r="DU11">
        <f t="shared" si="21"/>
        <v>85</v>
      </c>
      <c r="DV11" s="31">
        <f t="shared" si="22"/>
        <v>84.742346938775512</v>
      </c>
    </row>
    <row r="12" spans="1:126">
      <c r="A12">
        <v>11</v>
      </c>
      <c r="B12">
        <f>'DATA US'!B25</f>
        <v>222310011</v>
      </c>
      <c r="C12" t="str">
        <f>'DATA US'!C25</f>
        <v>0064029233</v>
      </c>
      <c r="D12">
        <f>'DATA US'!B107</f>
        <v>222310090</v>
      </c>
      <c r="E12" t="str">
        <f>'DATA US'!C107</f>
        <v>0073407455</v>
      </c>
      <c r="F12" t="str">
        <f>'DATA US'!F107</f>
        <v>Sukoharjo</v>
      </c>
      <c r="G12" s="5" t="s">
        <v>577</v>
      </c>
      <c r="H12" t="str">
        <f>'DATA US'!D107</f>
        <v>KHEYSA VIDA ANGGRAINI</v>
      </c>
      <c r="I12">
        <v>82</v>
      </c>
      <c r="J12">
        <v>78</v>
      </c>
      <c r="K12">
        <v>82</v>
      </c>
      <c r="L12">
        <v>86</v>
      </c>
      <c r="M12">
        <v>83</v>
      </c>
      <c r="N12">
        <v>85</v>
      </c>
      <c r="O12">
        <v>81</v>
      </c>
      <c r="P12">
        <v>83</v>
      </c>
      <c r="Q12">
        <v>80</v>
      </c>
      <c r="R12">
        <v>82</v>
      </c>
      <c r="S12">
        <v>83</v>
      </c>
      <c r="T12">
        <v>85</v>
      </c>
      <c r="U12">
        <v>80</v>
      </c>
      <c r="V12">
        <v>80</v>
      </c>
      <c r="W12">
        <v>82</v>
      </c>
      <c r="X12">
        <v>85</v>
      </c>
      <c r="Y12">
        <v>82</v>
      </c>
      <c r="Z12">
        <v>86</v>
      </c>
      <c r="AA12">
        <v>75</v>
      </c>
      <c r="AB12">
        <v>76</v>
      </c>
      <c r="AC12">
        <v>79</v>
      </c>
      <c r="AD12">
        <v>79</v>
      </c>
      <c r="AE12">
        <v>87</v>
      </c>
      <c r="AF12">
        <v>92</v>
      </c>
      <c r="AG12">
        <v>83</v>
      </c>
      <c r="AH12">
        <v>77</v>
      </c>
      <c r="AI12">
        <v>81</v>
      </c>
      <c r="AJ12">
        <v>81</v>
      </c>
      <c r="AK12">
        <v>85</v>
      </c>
      <c r="AL12">
        <v>80</v>
      </c>
      <c r="AM12">
        <v>82</v>
      </c>
      <c r="AN12">
        <v>81</v>
      </c>
      <c r="AR12">
        <v>83</v>
      </c>
      <c r="AS12">
        <v>83</v>
      </c>
      <c r="AT12">
        <v>80</v>
      </c>
      <c r="AU12">
        <v>81</v>
      </c>
      <c r="AV12">
        <v>86</v>
      </c>
      <c r="AW12">
        <v>83</v>
      </c>
      <c r="AZ12">
        <v>79</v>
      </c>
      <c r="BA12">
        <v>83</v>
      </c>
      <c r="BB12">
        <v>83</v>
      </c>
      <c r="BC12">
        <v>84</v>
      </c>
      <c r="BD12">
        <v>83</v>
      </c>
      <c r="BE12">
        <v>83</v>
      </c>
      <c r="BF12">
        <v>76</v>
      </c>
      <c r="BG12">
        <v>77</v>
      </c>
      <c r="BH12">
        <v>90</v>
      </c>
      <c r="BI12">
        <v>87</v>
      </c>
      <c r="BJ12">
        <v>79</v>
      </c>
      <c r="BK12">
        <v>82</v>
      </c>
      <c r="BL12">
        <v>81</v>
      </c>
      <c r="BM12">
        <v>85</v>
      </c>
      <c r="BN12">
        <v>83</v>
      </c>
      <c r="BO12">
        <v>83</v>
      </c>
      <c r="BP12">
        <v>85</v>
      </c>
      <c r="BQ12">
        <v>80</v>
      </c>
      <c r="BR12" s="13">
        <v>80</v>
      </c>
      <c r="BS12">
        <v>84</v>
      </c>
      <c r="BT12">
        <v>87</v>
      </c>
      <c r="BU12">
        <v>86</v>
      </c>
      <c r="BV12">
        <v>82</v>
      </c>
      <c r="BW12">
        <v>83</v>
      </c>
      <c r="BX12">
        <v>84</v>
      </c>
      <c r="BY12">
        <v>88</v>
      </c>
      <c r="BZ12">
        <v>85</v>
      </c>
      <c r="CA12">
        <v>86</v>
      </c>
      <c r="CB12">
        <v>80</v>
      </c>
      <c r="CC12">
        <v>81</v>
      </c>
      <c r="CD12">
        <v>87</v>
      </c>
      <c r="CE12">
        <v>88</v>
      </c>
      <c r="CF12">
        <v>81</v>
      </c>
      <c r="CG12">
        <v>84</v>
      </c>
      <c r="CH12" s="17" t="s">
        <v>1087</v>
      </c>
      <c r="CI12" s="17" t="s">
        <v>1088</v>
      </c>
      <c r="CJ12" s="17" t="s">
        <v>1160</v>
      </c>
      <c r="CK12" s="23" t="s">
        <v>996</v>
      </c>
      <c r="CL12" s="17" t="s">
        <v>1161</v>
      </c>
      <c r="CM12" s="17" t="s">
        <v>1162</v>
      </c>
      <c r="CN12" s="17" t="s">
        <v>1163</v>
      </c>
      <c r="CO12" s="23" t="s">
        <v>996</v>
      </c>
      <c r="CP12" s="26"/>
      <c r="CQ12" s="26"/>
      <c r="CR12" s="26"/>
      <c r="CS12" s="26"/>
      <c r="CT12" s="31">
        <v>88.6666666666667</v>
      </c>
      <c r="CU12">
        <v>84.6666666666667</v>
      </c>
      <c r="CV12">
        <v>94</v>
      </c>
      <c r="CW12">
        <v>88</v>
      </c>
      <c r="CX12" s="13">
        <v>83.25</v>
      </c>
      <c r="CY12" s="13">
        <v>84.571428571428598</v>
      </c>
      <c r="CZ12" s="13">
        <f t="shared" si="0"/>
        <v>82.666666666666671</v>
      </c>
      <c r="DA12" s="13">
        <f t="shared" si="1"/>
        <v>82.333333333333329</v>
      </c>
      <c r="DB12" s="13">
        <f t="shared" si="2"/>
        <v>81.333333333333329</v>
      </c>
      <c r="DC12" s="13">
        <f t="shared" si="3"/>
        <v>82.5</v>
      </c>
      <c r="DD12" s="13">
        <f t="shared" si="4"/>
        <v>81.166666666666671</v>
      </c>
      <c r="DE12" s="13">
        <f t="shared" si="5"/>
        <v>83</v>
      </c>
      <c r="DF12" s="13">
        <f t="shared" si="6"/>
        <v>82.5</v>
      </c>
      <c r="DG12" s="13">
        <f t="shared" si="7"/>
        <v>82.5</v>
      </c>
      <c r="DH12" s="13">
        <f t="shared" si="8"/>
        <v>83</v>
      </c>
      <c r="DI12" s="13">
        <f t="shared" si="9"/>
        <v>83.5</v>
      </c>
      <c r="DJ12" s="13">
        <f t="shared" si="10"/>
        <v>81</v>
      </c>
      <c r="DK12" s="13">
        <f t="shared" si="11"/>
        <v>76.5</v>
      </c>
      <c r="DL12" s="13">
        <f t="shared" si="12"/>
        <v>80.5</v>
      </c>
      <c r="DM12" s="13">
        <f t="shared" si="13"/>
        <v>88.5</v>
      </c>
      <c r="DN12" s="13">
        <f t="shared" si="14"/>
        <v>83</v>
      </c>
      <c r="DO12" s="13">
        <f t="shared" si="15"/>
        <v>84.25</v>
      </c>
      <c r="DP12" s="13">
        <f t="shared" si="16"/>
        <v>82.75</v>
      </c>
      <c r="DQ12" s="13">
        <f t="shared" si="17"/>
        <v>84</v>
      </c>
      <c r="DR12" s="13">
        <f t="shared" si="18"/>
        <v>85.5</v>
      </c>
      <c r="DS12">
        <f t="shared" si="19"/>
        <v>84.25</v>
      </c>
      <c r="DT12">
        <f t="shared" si="20"/>
        <v>81.333333333333329</v>
      </c>
      <c r="DU12">
        <f t="shared" si="21"/>
        <v>81.5</v>
      </c>
      <c r="DV12" s="31">
        <f t="shared" si="22"/>
        <v>83.597789115646265</v>
      </c>
    </row>
    <row r="13" spans="1:126">
      <c r="A13">
        <v>12</v>
      </c>
      <c r="B13">
        <f>'DATA US'!B26</f>
        <v>222310012</v>
      </c>
      <c r="C13" t="str">
        <f>'DATA US'!C26</f>
        <v>0075073374</v>
      </c>
      <c r="D13">
        <f>'DATA US'!B108</f>
        <v>222310091</v>
      </c>
      <c r="E13" t="str">
        <f>'DATA US'!C108</f>
        <v>0058876158</v>
      </c>
      <c r="F13" t="str">
        <f>'DATA US'!F108</f>
        <v>Bekasi</v>
      </c>
      <c r="G13" s="5" t="s">
        <v>583</v>
      </c>
      <c r="H13" t="str">
        <f>'DATA US'!D108</f>
        <v>LEO STEPEN</v>
      </c>
      <c r="I13">
        <v>85</v>
      </c>
      <c r="J13">
        <v>86</v>
      </c>
      <c r="K13">
        <v>88</v>
      </c>
      <c r="L13">
        <v>86</v>
      </c>
      <c r="M13">
        <v>83</v>
      </c>
      <c r="N13">
        <v>84</v>
      </c>
      <c r="O13">
        <v>84</v>
      </c>
      <c r="P13">
        <v>87</v>
      </c>
      <c r="Q13">
        <v>85</v>
      </c>
      <c r="R13">
        <v>85</v>
      </c>
      <c r="S13">
        <v>84</v>
      </c>
      <c r="T13">
        <v>87</v>
      </c>
      <c r="U13">
        <v>80</v>
      </c>
      <c r="V13">
        <v>79</v>
      </c>
      <c r="W13">
        <v>86</v>
      </c>
      <c r="X13">
        <v>88</v>
      </c>
      <c r="Y13">
        <v>82</v>
      </c>
      <c r="Z13">
        <v>86</v>
      </c>
      <c r="AA13">
        <v>75</v>
      </c>
      <c r="AB13">
        <v>76</v>
      </c>
      <c r="AC13">
        <v>78</v>
      </c>
      <c r="AD13">
        <v>79</v>
      </c>
      <c r="AE13">
        <v>86</v>
      </c>
      <c r="AF13">
        <v>87</v>
      </c>
      <c r="AG13">
        <v>81</v>
      </c>
      <c r="AH13">
        <v>82</v>
      </c>
      <c r="AI13">
        <v>87</v>
      </c>
      <c r="AJ13">
        <v>87</v>
      </c>
      <c r="AK13">
        <v>85</v>
      </c>
      <c r="AL13">
        <v>80</v>
      </c>
      <c r="AM13">
        <v>85</v>
      </c>
      <c r="AN13">
        <v>88</v>
      </c>
      <c r="AR13">
        <v>84</v>
      </c>
      <c r="AS13">
        <v>83</v>
      </c>
      <c r="AT13">
        <v>80</v>
      </c>
      <c r="AU13">
        <v>82</v>
      </c>
      <c r="AV13">
        <v>88</v>
      </c>
      <c r="AW13">
        <v>83</v>
      </c>
      <c r="AZ13">
        <v>77</v>
      </c>
      <c r="BA13">
        <v>82</v>
      </c>
      <c r="BB13">
        <v>84</v>
      </c>
      <c r="BC13">
        <v>84</v>
      </c>
      <c r="BD13">
        <v>84</v>
      </c>
      <c r="BE13">
        <v>84</v>
      </c>
      <c r="BF13">
        <v>76</v>
      </c>
      <c r="BG13">
        <v>81</v>
      </c>
      <c r="BH13">
        <v>89</v>
      </c>
      <c r="BI13">
        <v>87</v>
      </c>
      <c r="BJ13">
        <v>80</v>
      </c>
      <c r="BK13">
        <v>83</v>
      </c>
      <c r="BL13">
        <v>80</v>
      </c>
      <c r="BM13">
        <v>85</v>
      </c>
      <c r="BN13">
        <v>85</v>
      </c>
      <c r="BO13">
        <v>85</v>
      </c>
      <c r="BP13">
        <v>82</v>
      </c>
      <c r="BQ13">
        <v>80</v>
      </c>
      <c r="BR13" s="13">
        <v>88</v>
      </c>
      <c r="BS13">
        <v>87</v>
      </c>
      <c r="BT13">
        <v>87</v>
      </c>
      <c r="BU13">
        <v>85</v>
      </c>
      <c r="BV13">
        <v>82</v>
      </c>
      <c r="BW13">
        <v>87</v>
      </c>
      <c r="BX13">
        <v>84</v>
      </c>
      <c r="BY13">
        <v>89</v>
      </c>
      <c r="BZ13">
        <v>82</v>
      </c>
      <c r="CA13">
        <v>86</v>
      </c>
      <c r="CB13">
        <v>82</v>
      </c>
      <c r="CC13">
        <v>86</v>
      </c>
      <c r="CD13">
        <v>87</v>
      </c>
      <c r="CE13">
        <v>87</v>
      </c>
      <c r="CF13">
        <v>83</v>
      </c>
      <c r="CG13">
        <v>88</v>
      </c>
      <c r="CH13" s="17" t="s">
        <v>993</v>
      </c>
      <c r="CI13" s="17" t="s">
        <v>994</v>
      </c>
      <c r="CJ13" s="292" t="s">
        <v>1164</v>
      </c>
      <c r="CK13" s="23" t="s">
        <v>996</v>
      </c>
      <c r="CL13" s="17" t="s">
        <v>1098</v>
      </c>
      <c r="CM13" s="19" t="s">
        <v>1099</v>
      </c>
      <c r="CN13" s="19" t="s">
        <v>1100</v>
      </c>
      <c r="CO13" s="23" t="s">
        <v>996</v>
      </c>
      <c r="CP13" s="32"/>
      <c r="CQ13" s="32"/>
      <c r="CR13" s="32"/>
      <c r="CS13" s="32"/>
      <c r="CT13" s="31">
        <v>90</v>
      </c>
      <c r="CU13">
        <v>86</v>
      </c>
      <c r="CV13">
        <v>82</v>
      </c>
      <c r="CW13">
        <v>89</v>
      </c>
      <c r="CX13" s="13">
        <v>86.5</v>
      </c>
      <c r="CY13" s="13">
        <v>84.571428571428598</v>
      </c>
      <c r="CZ13" s="13">
        <f t="shared" si="0"/>
        <v>85.333333333333329</v>
      </c>
      <c r="DA13" s="13">
        <f t="shared" si="1"/>
        <v>85.333333333333329</v>
      </c>
      <c r="DB13" s="13">
        <f t="shared" si="2"/>
        <v>80.166666666666671</v>
      </c>
      <c r="DC13" s="13">
        <f t="shared" si="3"/>
        <v>83.5</v>
      </c>
      <c r="DD13" s="13">
        <f t="shared" si="4"/>
        <v>83.666666666666671</v>
      </c>
      <c r="DE13" s="13">
        <f t="shared" si="5"/>
        <v>83.5</v>
      </c>
      <c r="DF13" s="13">
        <f t="shared" si="6"/>
        <v>83.25</v>
      </c>
      <c r="DG13" s="13">
        <f t="shared" si="7"/>
        <v>85.5</v>
      </c>
      <c r="DH13" s="13">
        <f t="shared" si="8"/>
        <v>84</v>
      </c>
      <c r="DI13" s="13">
        <f t="shared" si="9"/>
        <v>84</v>
      </c>
      <c r="DJ13" s="13">
        <f t="shared" si="10"/>
        <v>79.5</v>
      </c>
      <c r="DK13" s="13">
        <f t="shared" si="11"/>
        <v>78.5</v>
      </c>
      <c r="DL13" s="13">
        <f t="shared" si="12"/>
        <v>81.5</v>
      </c>
      <c r="DM13" s="13">
        <f t="shared" si="13"/>
        <v>88</v>
      </c>
      <c r="DN13" s="13">
        <f t="shared" si="14"/>
        <v>82.5</v>
      </c>
      <c r="DO13" s="13">
        <f t="shared" si="15"/>
        <v>86.75</v>
      </c>
      <c r="DP13" s="13">
        <f t="shared" si="16"/>
        <v>83</v>
      </c>
      <c r="DQ13" s="13">
        <f t="shared" si="17"/>
        <v>85.5</v>
      </c>
      <c r="DR13" s="13">
        <f t="shared" si="18"/>
        <v>84</v>
      </c>
      <c r="DS13">
        <f t="shared" si="19"/>
        <v>85.5</v>
      </c>
      <c r="DT13">
        <f t="shared" si="20"/>
        <v>80.166666666666671</v>
      </c>
      <c r="DU13">
        <f t="shared" si="21"/>
        <v>86.5</v>
      </c>
      <c r="DV13" s="31">
        <f t="shared" si="22"/>
        <v>84.204931972789112</v>
      </c>
    </row>
    <row r="14" spans="1:126">
      <c r="A14">
        <v>13</v>
      </c>
      <c r="B14">
        <f>'DATA US'!B27</f>
        <v>222310013</v>
      </c>
      <c r="C14" t="str">
        <f>'DATA US'!C27</f>
        <v>0066462669</v>
      </c>
      <c r="D14">
        <f>'DATA US'!B109</f>
        <v>222310092</v>
      </c>
      <c r="E14" t="str">
        <f>'DATA US'!C109</f>
        <v>0079452159</v>
      </c>
      <c r="F14" t="str">
        <f>'DATA US'!F109</f>
        <v>Bekasi</v>
      </c>
      <c r="G14" s="5" t="s">
        <v>589</v>
      </c>
      <c r="H14" t="str">
        <f>'DATA US'!D109</f>
        <v>M. FACHRI RIZKI MAULANA</v>
      </c>
      <c r="I14">
        <v>85</v>
      </c>
      <c r="J14">
        <v>86</v>
      </c>
      <c r="K14">
        <v>89</v>
      </c>
      <c r="L14">
        <v>91</v>
      </c>
      <c r="M14">
        <v>86</v>
      </c>
      <c r="N14">
        <v>88</v>
      </c>
      <c r="O14">
        <v>86</v>
      </c>
      <c r="P14">
        <v>89</v>
      </c>
      <c r="Q14">
        <v>85</v>
      </c>
      <c r="R14">
        <v>85</v>
      </c>
      <c r="S14">
        <v>86</v>
      </c>
      <c r="T14">
        <v>90</v>
      </c>
      <c r="U14">
        <v>80</v>
      </c>
      <c r="V14">
        <v>80</v>
      </c>
      <c r="W14">
        <v>97</v>
      </c>
      <c r="X14">
        <v>95</v>
      </c>
      <c r="Y14">
        <v>95</v>
      </c>
      <c r="Z14">
        <v>95</v>
      </c>
      <c r="AA14">
        <v>77</v>
      </c>
      <c r="AB14">
        <v>81</v>
      </c>
      <c r="AC14">
        <v>84</v>
      </c>
      <c r="AD14">
        <v>81</v>
      </c>
      <c r="AE14">
        <v>90</v>
      </c>
      <c r="AF14">
        <v>92</v>
      </c>
      <c r="AG14">
        <v>83</v>
      </c>
      <c r="AH14">
        <v>83</v>
      </c>
      <c r="AI14">
        <v>84</v>
      </c>
      <c r="AJ14">
        <v>86</v>
      </c>
      <c r="AK14">
        <v>92</v>
      </c>
      <c r="AL14">
        <v>89</v>
      </c>
      <c r="AM14">
        <v>88</v>
      </c>
      <c r="AN14">
        <v>88</v>
      </c>
      <c r="AR14">
        <v>85</v>
      </c>
      <c r="AS14">
        <v>83</v>
      </c>
      <c r="AT14">
        <v>82</v>
      </c>
      <c r="AU14">
        <v>82</v>
      </c>
      <c r="AV14">
        <v>89</v>
      </c>
      <c r="AW14">
        <v>83</v>
      </c>
      <c r="AZ14">
        <v>79</v>
      </c>
      <c r="BA14">
        <v>89</v>
      </c>
      <c r="BB14">
        <v>83</v>
      </c>
      <c r="BC14">
        <v>86</v>
      </c>
      <c r="BD14">
        <v>83</v>
      </c>
      <c r="BE14">
        <v>85</v>
      </c>
      <c r="BF14">
        <v>78</v>
      </c>
      <c r="BG14">
        <v>85</v>
      </c>
      <c r="BH14">
        <v>95</v>
      </c>
      <c r="BI14">
        <v>92</v>
      </c>
      <c r="BJ14">
        <v>80</v>
      </c>
      <c r="BK14">
        <v>82</v>
      </c>
      <c r="BL14">
        <v>83</v>
      </c>
      <c r="BM14">
        <v>86</v>
      </c>
      <c r="BN14">
        <v>86</v>
      </c>
      <c r="BO14">
        <v>86</v>
      </c>
      <c r="BP14">
        <v>92</v>
      </c>
      <c r="BQ14">
        <v>89</v>
      </c>
      <c r="BR14" s="13">
        <v>92</v>
      </c>
      <c r="BS14">
        <v>90</v>
      </c>
      <c r="BT14">
        <v>92</v>
      </c>
      <c r="BU14">
        <v>92</v>
      </c>
      <c r="BV14">
        <v>88</v>
      </c>
      <c r="BW14">
        <v>92</v>
      </c>
      <c r="BX14">
        <v>88</v>
      </c>
      <c r="BY14">
        <v>95</v>
      </c>
      <c r="BZ14">
        <v>92</v>
      </c>
      <c r="CA14">
        <v>91</v>
      </c>
      <c r="CB14">
        <v>81</v>
      </c>
      <c r="CC14">
        <v>86</v>
      </c>
      <c r="CD14">
        <v>89</v>
      </c>
      <c r="CE14">
        <v>89</v>
      </c>
      <c r="CF14">
        <v>87</v>
      </c>
      <c r="CG14">
        <v>90</v>
      </c>
      <c r="CH14" s="17" t="s">
        <v>1165</v>
      </c>
      <c r="CI14" s="17" t="s">
        <v>1166</v>
      </c>
      <c r="CJ14" s="17" t="s">
        <v>1167</v>
      </c>
      <c r="CK14" s="23" t="s">
        <v>1000</v>
      </c>
      <c r="CL14" s="17" t="s">
        <v>1028</v>
      </c>
      <c r="CM14" s="17" t="s">
        <v>1168</v>
      </c>
      <c r="CN14" s="17" t="s">
        <v>1169</v>
      </c>
      <c r="CO14" s="23" t="s">
        <v>1000</v>
      </c>
      <c r="CP14" s="26"/>
      <c r="CQ14" s="26"/>
      <c r="CR14" s="26"/>
      <c r="CS14" s="26"/>
      <c r="CT14" s="31">
        <v>91</v>
      </c>
      <c r="CU14">
        <v>90.3333333333333</v>
      </c>
      <c r="CV14">
        <v>100</v>
      </c>
      <c r="CW14">
        <v>92</v>
      </c>
      <c r="CX14" s="13">
        <v>86.5</v>
      </c>
      <c r="CY14" s="13">
        <v>91.428571428571402</v>
      </c>
      <c r="CZ14" s="13">
        <f t="shared" si="0"/>
        <v>87.5</v>
      </c>
      <c r="DA14" s="13">
        <f t="shared" si="1"/>
        <v>86.833333333333329</v>
      </c>
      <c r="DB14" s="13">
        <f t="shared" si="2"/>
        <v>84.166666666666671</v>
      </c>
      <c r="DC14" s="13">
        <f t="shared" si="3"/>
        <v>90.333333333333329</v>
      </c>
      <c r="DD14" s="13">
        <f t="shared" si="4"/>
        <v>86.166666666666671</v>
      </c>
      <c r="DE14" s="13">
        <f t="shared" si="5"/>
        <v>84</v>
      </c>
      <c r="DF14" s="13">
        <f t="shared" si="6"/>
        <v>84</v>
      </c>
      <c r="DG14" s="13">
        <f t="shared" si="7"/>
        <v>88.5</v>
      </c>
      <c r="DH14" s="13">
        <f t="shared" si="8"/>
        <v>84</v>
      </c>
      <c r="DI14" s="13">
        <f t="shared" si="9"/>
        <v>84.5</v>
      </c>
      <c r="DJ14" s="13">
        <f t="shared" si="10"/>
        <v>84</v>
      </c>
      <c r="DK14" s="13">
        <f t="shared" si="11"/>
        <v>81.5</v>
      </c>
      <c r="DL14" s="13">
        <f t="shared" si="12"/>
        <v>81</v>
      </c>
      <c r="DM14" s="13">
        <f t="shared" si="13"/>
        <v>93.5</v>
      </c>
      <c r="DN14" s="13">
        <f t="shared" si="14"/>
        <v>84.5</v>
      </c>
      <c r="DO14" s="13">
        <f t="shared" si="15"/>
        <v>91.5</v>
      </c>
      <c r="DP14" s="13">
        <f t="shared" si="16"/>
        <v>88.25</v>
      </c>
      <c r="DQ14" s="13">
        <f t="shared" si="17"/>
        <v>86.25</v>
      </c>
      <c r="DR14" s="13">
        <f t="shared" si="18"/>
        <v>91.5</v>
      </c>
      <c r="DS14">
        <f t="shared" si="19"/>
        <v>90.75</v>
      </c>
      <c r="DT14">
        <f t="shared" si="20"/>
        <v>84.166666666666671</v>
      </c>
      <c r="DU14">
        <f t="shared" si="21"/>
        <v>88</v>
      </c>
      <c r="DV14" s="31">
        <f t="shared" si="22"/>
        <v>87.720663265306115</v>
      </c>
    </row>
    <row r="15" spans="1:126">
      <c r="A15">
        <v>14</v>
      </c>
      <c r="B15">
        <f>'DATA US'!B28</f>
        <v>222310014</v>
      </c>
      <c r="C15" t="str">
        <f>'DATA US'!C28</f>
        <v>0072204586</v>
      </c>
      <c r="D15">
        <f>'DATA US'!B110</f>
        <v>222310093</v>
      </c>
      <c r="E15" t="str">
        <f>'DATA US'!C110</f>
        <v>0071002555</v>
      </c>
      <c r="F15" t="str">
        <f>'DATA US'!F110</f>
        <v>Bekasi</v>
      </c>
      <c r="G15" s="5" t="s">
        <v>595</v>
      </c>
      <c r="H15" t="str">
        <f>'DATA US'!D110</f>
        <v>MELI ANJANI</v>
      </c>
      <c r="I15">
        <v>82</v>
      </c>
      <c r="J15">
        <v>81</v>
      </c>
      <c r="K15">
        <v>85</v>
      </c>
      <c r="L15">
        <v>88</v>
      </c>
      <c r="M15">
        <v>84</v>
      </c>
      <c r="N15">
        <v>85</v>
      </c>
      <c r="O15">
        <v>82</v>
      </c>
      <c r="P15">
        <v>84</v>
      </c>
      <c r="Q15">
        <v>83</v>
      </c>
      <c r="R15">
        <v>84</v>
      </c>
      <c r="S15">
        <v>83</v>
      </c>
      <c r="T15">
        <v>85</v>
      </c>
      <c r="U15">
        <v>80</v>
      </c>
      <c r="V15">
        <v>82</v>
      </c>
      <c r="W15">
        <v>87</v>
      </c>
      <c r="X15">
        <v>88</v>
      </c>
      <c r="Y15">
        <v>84</v>
      </c>
      <c r="Z15">
        <v>88</v>
      </c>
      <c r="AA15">
        <v>75</v>
      </c>
      <c r="AB15">
        <v>78</v>
      </c>
      <c r="AC15">
        <v>78</v>
      </c>
      <c r="AD15">
        <v>79</v>
      </c>
      <c r="AE15">
        <v>83</v>
      </c>
      <c r="AF15">
        <v>91</v>
      </c>
      <c r="AG15">
        <v>76</v>
      </c>
      <c r="AH15">
        <v>80</v>
      </c>
      <c r="AI15">
        <v>84</v>
      </c>
      <c r="AJ15">
        <v>83</v>
      </c>
      <c r="AK15">
        <v>81</v>
      </c>
      <c r="AL15">
        <v>80</v>
      </c>
      <c r="AM15">
        <v>83</v>
      </c>
      <c r="AN15">
        <v>87</v>
      </c>
      <c r="AR15">
        <v>88</v>
      </c>
      <c r="AS15">
        <v>80</v>
      </c>
      <c r="AT15">
        <v>80</v>
      </c>
      <c r="AU15">
        <v>82</v>
      </c>
      <c r="AV15">
        <v>83</v>
      </c>
      <c r="AW15">
        <v>84</v>
      </c>
      <c r="AZ15">
        <v>78</v>
      </c>
      <c r="BA15">
        <v>87</v>
      </c>
      <c r="BB15">
        <v>82</v>
      </c>
      <c r="BC15">
        <v>84</v>
      </c>
      <c r="BD15">
        <v>82</v>
      </c>
      <c r="BE15">
        <v>82</v>
      </c>
      <c r="BF15">
        <v>76</v>
      </c>
      <c r="BG15">
        <v>87</v>
      </c>
      <c r="BH15">
        <v>90</v>
      </c>
      <c r="BI15">
        <v>89</v>
      </c>
      <c r="BJ15">
        <v>77</v>
      </c>
      <c r="BK15">
        <v>83</v>
      </c>
      <c r="BL15">
        <v>82</v>
      </c>
      <c r="BM15">
        <v>85</v>
      </c>
      <c r="BN15">
        <v>85</v>
      </c>
      <c r="BO15">
        <v>85</v>
      </c>
      <c r="BP15">
        <v>82</v>
      </c>
      <c r="BQ15">
        <v>80</v>
      </c>
      <c r="BR15" s="13">
        <v>87</v>
      </c>
      <c r="BS15">
        <v>88</v>
      </c>
      <c r="BT15">
        <v>88</v>
      </c>
      <c r="BU15">
        <v>87</v>
      </c>
      <c r="BV15">
        <v>87</v>
      </c>
      <c r="BW15">
        <v>89</v>
      </c>
      <c r="BX15">
        <v>86</v>
      </c>
      <c r="BY15">
        <v>89</v>
      </c>
      <c r="BZ15">
        <v>83</v>
      </c>
      <c r="CA15">
        <v>86</v>
      </c>
      <c r="CB15">
        <v>81</v>
      </c>
      <c r="CC15">
        <v>84</v>
      </c>
      <c r="CD15">
        <v>87</v>
      </c>
      <c r="CE15">
        <v>87</v>
      </c>
      <c r="CF15">
        <v>82</v>
      </c>
      <c r="CG15">
        <v>84</v>
      </c>
      <c r="CH15" s="17" t="s">
        <v>1033</v>
      </c>
      <c r="CI15" s="17" t="s">
        <v>1170</v>
      </c>
      <c r="CJ15" s="17" t="s">
        <v>1155</v>
      </c>
      <c r="CK15" s="23" t="s">
        <v>1000</v>
      </c>
      <c r="CL15" s="17" t="s">
        <v>1098</v>
      </c>
      <c r="CM15" s="19" t="s">
        <v>1099</v>
      </c>
      <c r="CN15" s="17" t="s">
        <v>1171</v>
      </c>
      <c r="CO15" s="23" t="s">
        <v>1000</v>
      </c>
      <c r="CP15" s="26"/>
      <c r="CQ15" s="26"/>
      <c r="CR15" s="26"/>
      <c r="CS15" s="26"/>
      <c r="CT15" s="31">
        <v>90.6666666666667</v>
      </c>
      <c r="CU15">
        <v>84</v>
      </c>
      <c r="CV15">
        <v>81</v>
      </c>
      <c r="CW15">
        <v>92</v>
      </c>
      <c r="CX15" s="13">
        <v>83</v>
      </c>
      <c r="CY15" s="13">
        <v>88.285714285714306</v>
      </c>
      <c r="CZ15" s="13">
        <f t="shared" si="0"/>
        <v>84.166666666666671</v>
      </c>
      <c r="DA15" s="13">
        <f t="shared" si="1"/>
        <v>83.5</v>
      </c>
      <c r="DB15" s="13">
        <f t="shared" si="2"/>
        <v>80.666666666666671</v>
      </c>
      <c r="DC15" s="13">
        <f t="shared" si="3"/>
        <v>84.833333333333329</v>
      </c>
      <c r="DD15" s="13">
        <f t="shared" si="4"/>
        <v>80.666666666666671</v>
      </c>
      <c r="DE15" s="13">
        <f t="shared" si="5"/>
        <v>84</v>
      </c>
      <c r="DF15" s="13">
        <f t="shared" si="6"/>
        <v>82.25</v>
      </c>
      <c r="DG15" s="13">
        <f t="shared" si="7"/>
        <v>83</v>
      </c>
      <c r="DH15" s="13">
        <f t="shared" si="8"/>
        <v>82</v>
      </c>
      <c r="DI15" s="13">
        <f t="shared" si="9"/>
        <v>83</v>
      </c>
      <c r="DJ15" s="13">
        <f t="shared" si="10"/>
        <v>82.5</v>
      </c>
      <c r="DK15" s="13">
        <f t="shared" si="11"/>
        <v>81.5</v>
      </c>
      <c r="DL15" s="13">
        <f t="shared" si="12"/>
        <v>80</v>
      </c>
      <c r="DM15" s="13">
        <f t="shared" si="13"/>
        <v>89.5</v>
      </c>
      <c r="DN15" s="13">
        <f t="shared" si="14"/>
        <v>83.5</v>
      </c>
      <c r="DO15" s="13">
        <f t="shared" si="15"/>
        <v>87.5</v>
      </c>
      <c r="DP15" s="13">
        <f t="shared" si="16"/>
        <v>83</v>
      </c>
      <c r="DQ15" s="13">
        <f t="shared" si="17"/>
        <v>84.75</v>
      </c>
      <c r="DR15" s="13">
        <f t="shared" si="18"/>
        <v>84.5</v>
      </c>
      <c r="DS15">
        <f t="shared" si="19"/>
        <v>87.75</v>
      </c>
      <c r="DT15">
        <f t="shared" si="20"/>
        <v>80.666666666666671</v>
      </c>
      <c r="DU15">
        <f t="shared" si="21"/>
        <v>85</v>
      </c>
      <c r="DV15" s="31">
        <f t="shared" si="22"/>
        <v>84.185799319727877</v>
      </c>
    </row>
    <row r="16" spans="1:126">
      <c r="A16">
        <v>15</v>
      </c>
      <c r="B16">
        <f>'DATA US'!B29</f>
        <v>222310141</v>
      </c>
      <c r="C16" t="str">
        <f>'DATA US'!C29</f>
        <v>0071036654</v>
      </c>
      <c r="D16">
        <f>'DATA US'!B111</f>
        <v>222310094</v>
      </c>
      <c r="E16" t="str">
        <f>'DATA US'!C111</f>
        <v>0067648631</v>
      </c>
      <c r="F16" t="str">
        <f>'DATA US'!F111</f>
        <v>Sukabumi</v>
      </c>
      <c r="G16" s="5" t="s">
        <v>601</v>
      </c>
      <c r="H16" t="str">
        <f>'DATA US'!D111</f>
        <v>MILDA APRILIANNI</v>
      </c>
      <c r="I16">
        <v>83</v>
      </c>
      <c r="J16">
        <v>83</v>
      </c>
      <c r="K16">
        <v>91</v>
      </c>
      <c r="L16">
        <v>90</v>
      </c>
      <c r="M16">
        <v>83</v>
      </c>
      <c r="N16">
        <v>84</v>
      </c>
      <c r="O16">
        <v>83</v>
      </c>
      <c r="P16">
        <v>86</v>
      </c>
      <c r="Q16">
        <v>85</v>
      </c>
      <c r="R16">
        <v>86</v>
      </c>
      <c r="S16">
        <v>85</v>
      </c>
      <c r="T16">
        <v>87</v>
      </c>
      <c r="U16">
        <v>80</v>
      </c>
      <c r="V16">
        <v>82</v>
      </c>
      <c r="W16">
        <v>90</v>
      </c>
      <c r="X16">
        <v>91</v>
      </c>
      <c r="Y16">
        <v>89</v>
      </c>
      <c r="Z16">
        <v>90</v>
      </c>
      <c r="AA16">
        <v>80</v>
      </c>
      <c r="AB16">
        <v>82</v>
      </c>
      <c r="AC16">
        <v>82</v>
      </c>
      <c r="AD16">
        <v>84</v>
      </c>
      <c r="AE16">
        <v>85</v>
      </c>
      <c r="AF16">
        <v>92</v>
      </c>
      <c r="AG16">
        <v>85</v>
      </c>
      <c r="AH16">
        <v>84</v>
      </c>
      <c r="AI16">
        <v>87</v>
      </c>
      <c r="AJ16">
        <v>92</v>
      </c>
      <c r="AK16">
        <v>86</v>
      </c>
      <c r="AL16">
        <v>82</v>
      </c>
      <c r="AM16">
        <v>86</v>
      </c>
      <c r="AN16">
        <v>87</v>
      </c>
      <c r="AR16">
        <v>84</v>
      </c>
      <c r="AS16">
        <v>84</v>
      </c>
      <c r="AT16">
        <v>80</v>
      </c>
      <c r="AU16">
        <v>81</v>
      </c>
      <c r="AV16">
        <v>84</v>
      </c>
      <c r="AW16">
        <v>81</v>
      </c>
      <c r="AZ16">
        <v>80</v>
      </c>
      <c r="BA16">
        <v>84</v>
      </c>
      <c r="BB16">
        <v>84</v>
      </c>
      <c r="BC16">
        <v>85</v>
      </c>
      <c r="BD16">
        <v>83</v>
      </c>
      <c r="BE16">
        <v>83</v>
      </c>
      <c r="BF16">
        <v>77</v>
      </c>
      <c r="BG16">
        <v>89</v>
      </c>
      <c r="BH16">
        <v>92</v>
      </c>
      <c r="BI16">
        <v>94</v>
      </c>
      <c r="BJ16">
        <v>78</v>
      </c>
      <c r="BK16">
        <v>84</v>
      </c>
      <c r="BL16">
        <v>83</v>
      </c>
      <c r="BM16">
        <v>87</v>
      </c>
      <c r="BN16">
        <v>86</v>
      </c>
      <c r="BO16">
        <v>86</v>
      </c>
      <c r="BP16">
        <v>84</v>
      </c>
      <c r="BQ16">
        <v>82</v>
      </c>
      <c r="BR16" s="13">
        <v>92</v>
      </c>
      <c r="BS16">
        <v>90</v>
      </c>
      <c r="BT16">
        <v>88</v>
      </c>
      <c r="BU16">
        <v>87</v>
      </c>
      <c r="BV16">
        <v>88</v>
      </c>
      <c r="BW16">
        <v>89</v>
      </c>
      <c r="BX16">
        <v>86</v>
      </c>
      <c r="BY16">
        <v>88</v>
      </c>
      <c r="BZ16">
        <v>85</v>
      </c>
      <c r="CA16">
        <v>87</v>
      </c>
      <c r="CB16">
        <v>81</v>
      </c>
      <c r="CC16">
        <v>86</v>
      </c>
      <c r="CD16">
        <v>87</v>
      </c>
      <c r="CE16">
        <v>87</v>
      </c>
      <c r="CF16">
        <v>83</v>
      </c>
      <c r="CG16">
        <v>89</v>
      </c>
      <c r="CH16" s="17" t="s">
        <v>1172</v>
      </c>
      <c r="CI16" s="17" t="s">
        <v>1079</v>
      </c>
      <c r="CJ16" s="17" t="s">
        <v>1173</v>
      </c>
      <c r="CK16" s="24" t="s">
        <v>996</v>
      </c>
      <c r="CL16" s="17" t="s">
        <v>1098</v>
      </c>
      <c r="CM16" s="19" t="s">
        <v>1099</v>
      </c>
      <c r="CN16" s="19" t="s">
        <v>1174</v>
      </c>
      <c r="CO16" s="24" t="s">
        <v>996</v>
      </c>
      <c r="CP16" s="32"/>
      <c r="CQ16" s="32"/>
      <c r="CR16" s="32"/>
      <c r="CS16" s="32"/>
      <c r="CT16" s="31">
        <v>90.6666666666667</v>
      </c>
      <c r="CU16">
        <v>84.3333333333333</v>
      </c>
      <c r="CV16">
        <v>98</v>
      </c>
      <c r="CW16">
        <v>82</v>
      </c>
      <c r="CX16" s="13">
        <v>82.25</v>
      </c>
      <c r="CY16" s="13">
        <v>89.571428571428598</v>
      </c>
      <c r="CZ16" s="13">
        <f t="shared" si="0"/>
        <v>85.666666666666671</v>
      </c>
      <c r="DA16" s="13">
        <f t="shared" si="1"/>
        <v>85.333333333333329</v>
      </c>
      <c r="DB16" s="13">
        <f t="shared" si="2"/>
        <v>84.166666666666671</v>
      </c>
      <c r="DC16" s="13">
        <f t="shared" si="3"/>
        <v>87</v>
      </c>
      <c r="DD16" s="13">
        <f t="shared" si="4"/>
        <v>86</v>
      </c>
      <c r="DE16" s="13">
        <f t="shared" si="5"/>
        <v>84</v>
      </c>
      <c r="DF16" s="13">
        <f t="shared" si="6"/>
        <v>81.5</v>
      </c>
      <c r="DG16" s="13">
        <f t="shared" si="7"/>
        <v>86</v>
      </c>
      <c r="DH16" s="13">
        <f t="shared" si="8"/>
        <v>83</v>
      </c>
      <c r="DI16" s="13">
        <f t="shared" si="9"/>
        <v>84.5</v>
      </c>
      <c r="DJ16" s="13">
        <f t="shared" si="10"/>
        <v>82</v>
      </c>
      <c r="DK16" s="13">
        <f t="shared" si="11"/>
        <v>83</v>
      </c>
      <c r="DL16" s="13">
        <f t="shared" si="12"/>
        <v>81</v>
      </c>
      <c r="DM16" s="13">
        <f t="shared" si="13"/>
        <v>93</v>
      </c>
      <c r="DN16" s="13">
        <f t="shared" si="14"/>
        <v>85</v>
      </c>
      <c r="DO16" s="13">
        <f t="shared" si="15"/>
        <v>89.25</v>
      </c>
      <c r="DP16" s="13">
        <f t="shared" si="16"/>
        <v>84.5</v>
      </c>
      <c r="DQ16" s="13">
        <f t="shared" si="17"/>
        <v>85.25</v>
      </c>
      <c r="DR16" s="13">
        <f t="shared" si="18"/>
        <v>86</v>
      </c>
      <c r="DS16">
        <f t="shared" si="19"/>
        <v>87.75</v>
      </c>
      <c r="DT16">
        <f t="shared" si="20"/>
        <v>84.166666666666671</v>
      </c>
      <c r="DU16">
        <f t="shared" si="21"/>
        <v>86.5</v>
      </c>
      <c r="DV16" s="31">
        <f t="shared" si="22"/>
        <v>85.764455782312922</v>
      </c>
    </row>
    <row r="17" spans="1:126">
      <c r="A17">
        <v>16</v>
      </c>
      <c r="B17">
        <f>'DATA US'!B30</f>
        <v>222310015</v>
      </c>
      <c r="C17" t="str">
        <f>'DATA US'!C30</f>
        <v>0064639984</v>
      </c>
      <c r="D17">
        <f>'DATA US'!B112</f>
        <v>222310095</v>
      </c>
      <c r="E17" t="str">
        <f>'DATA US'!C112</f>
        <v>0077749659</v>
      </c>
      <c r="F17" t="str">
        <f>'DATA US'!F112</f>
        <v>Bekasi</v>
      </c>
      <c r="G17" s="5">
        <v>39202</v>
      </c>
      <c r="H17" t="str">
        <f>'DATA US'!D112</f>
        <v>MUHAMAD RISQI FAJRI</v>
      </c>
      <c r="I17">
        <v>86</v>
      </c>
      <c r="J17">
        <v>87</v>
      </c>
      <c r="K17">
        <v>90</v>
      </c>
      <c r="L17">
        <v>90</v>
      </c>
      <c r="M17">
        <v>83</v>
      </c>
      <c r="N17">
        <v>86</v>
      </c>
      <c r="O17">
        <v>86</v>
      </c>
      <c r="P17">
        <v>90</v>
      </c>
      <c r="Q17">
        <v>86</v>
      </c>
      <c r="R17">
        <v>85</v>
      </c>
      <c r="S17">
        <v>86</v>
      </c>
      <c r="T17">
        <v>90</v>
      </c>
      <c r="U17">
        <v>80</v>
      </c>
      <c r="V17">
        <v>82</v>
      </c>
      <c r="W17">
        <v>94</v>
      </c>
      <c r="X17">
        <v>92</v>
      </c>
      <c r="Y17">
        <v>92</v>
      </c>
      <c r="Z17">
        <v>93</v>
      </c>
      <c r="AA17">
        <v>90</v>
      </c>
      <c r="AB17">
        <v>91</v>
      </c>
      <c r="AC17">
        <v>85</v>
      </c>
      <c r="AD17">
        <v>80</v>
      </c>
      <c r="AE17">
        <v>86</v>
      </c>
      <c r="AF17">
        <v>91</v>
      </c>
      <c r="AG17">
        <v>84</v>
      </c>
      <c r="AH17">
        <v>85</v>
      </c>
      <c r="AI17">
        <v>84</v>
      </c>
      <c r="AJ17">
        <v>86</v>
      </c>
      <c r="AK17">
        <v>86</v>
      </c>
      <c r="AL17">
        <v>85</v>
      </c>
      <c r="AM17">
        <v>87</v>
      </c>
      <c r="AN17">
        <v>88</v>
      </c>
      <c r="AR17">
        <v>84</v>
      </c>
      <c r="AS17">
        <v>84</v>
      </c>
      <c r="AT17">
        <v>81</v>
      </c>
      <c r="AU17">
        <v>81</v>
      </c>
      <c r="AV17">
        <v>89</v>
      </c>
      <c r="AW17">
        <v>83</v>
      </c>
      <c r="AZ17">
        <v>80</v>
      </c>
      <c r="BA17">
        <v>86</v>
      </c>
      <c r="BB17">
        <v>87</v>
      </c>
      <c r="BC17">
        <v>88</v>
      </c>
      <c r="BD17">
        <v>87</v>
      </c>
      <c r="BE17">
        <v>87</v>
      </c>
      <c r="BF17">
        <v>78</v>
      </c>
      <c r="BG17">
        <v>90</v>
      </c>
      <c r="BH17">
        <v>98</v>
      </c>
      <c r="BI17">
        <v>93</v>
      </c>
      <c r="BJ17">
        <v>81</v>
      </c>
      <c r="BK17">
        <v>83</v>
      </c>
      <c r="BL17">
        <v>83</v>
      </c>
      <c r="BM17">
        <v>86</v>
      </c>
      <c r="BN17">
        <v>86</v>
      </c>
      <c r="BO17">
        <v>86</v>
      </c>
      <c r="BP17">
        <v>84</v>
      </c>
      <c r="BQ17">
        <v>85</v>
      </c>
      <c r="BR17" s="13">
        <v>89</v>
      </c>
      <c r="BS17">
        <v>90</v>
      </c>
      <c r="BT17">
        <v>89</v>
      </c>
      <c r="BU17">
        <v>88</v>
      </c>
      <c r="BV17">
        <v>84</v>
      </c>
      <c r="BW17">
        <v>92</v>
      </c>
      <c r="BX17">
        <v>85</v>
      </c>
      <c r="BY17">
        <v>89</v>
      </c>
      <c r="BZ17">
        <v>84</v>
      </c>
      <c r="CA17">
        <v>86</v>
      </c>
      <c r="CB17">
        <v>82</v>
      </c>
      <c r="CC17">
        <v>86</v>
      </c>
      <c r="CD17">
        <v>87</v>
      </c>
      <c r="CE17">
        <v>87</v>
      </c>
      <c r="CF17">
        <v>85</v>
      </c>
      <c r="CG17">
        <v>89</v>
      </c>
      <c r="CH17" s="17" t="s">
        <v>1165</v>
      </c>
      <c r="CI17" s="17" t="s">
        <v>1166</v>
      </c>
      <c r="CJ17" s="17" t="s">
        <v>1167</v>
      </c>
      <c r="CK17" s="24" t="s">
        <v>1000</v>
      </c>
      <c r="CL17" s="17" t="s">
        <v>1033</v>
      </c>
      <c r="CM17" s="17" t="s">
        <v>1088</v>
      </c>
      <c r="CN17" s="17" t="s">
        <v>1175</v>
      </c>
      <c r="CO17" s="24" t="s">
        <v>1000</v>
      </c>
      <c r="CP17" s="17" t="s">
        <v>1084</v>
      </c>
      <c r="CQ17" s="17" t="s">
        <v>1085</v>
      </c>
      <c r="CR17" s="17" t="s">
        <v>1086</v>
      </c>
      <c r="CS17" s="298" t="s">
        <v>1000</v>
      </c>
      <c r="CT17" s="31">
        <v>88.6666666666667</v>
      </c>
      <c r="CU17">
        <v>88.3333333333333</v>
      </c>
      <c r="CV17">
        <v>86</v>
      </c>
      <c r="CW17">
        <v>91</v>
      </c>
      <c r="CX17" s="13">
        <v>84</v>
      </c>
      <c r="CY17" s="13">
        <v>89.571428571428598</v>
      </c>
      <c r="CZ17" s="13">
        <f t="shared" si="0"/>
        <v>87</v>
      </c>
      <c r="DA17" s="13">
        <f t="shared" si="1"/>
        <v>87.166666666666671</v>
      </c>
      <c r="DB17" s="13">
        <f t="shared" si="2"/>
        <v>87.166666666666671</v>
      </c>
      <c r="DC17" s="13">
        <f t="shared" si="3"/>
        <v>88.833333333333329</v>
      </c>
      <c r="DD17" s="13">
        <f t="shared" si="4"/>
        <v>85</v>
      </c>
      <c r="DE17" s="13">
        <f t="shared" si="5"/>
        <v>84</v>
      </c>
      <c r="DF17" s="13">
        <f t="shared" si="6"/>
        <v>83.5</v>
      </c>
      <c r="DG17" s="13">
        <f t="shared" si="7"/>
        <v>87</v>
      </c>
      <c r="DH17" s="13">
        <f t="shared" si="8"/>
        <v>87</v>
      </c>
      <c r="DI17" s="13">
        <f t="shared" si="9"/>
        <v>87.5</v>
      </c>
      <c r="DJ17" s="13">
        <f t="shared" si="10"/>
        <v>83</v>
      </c>
      <c r="DK17" s="13">
        <f t="shared" si="11"/>
        <v>84</v>
      </c>
      <c r="DL17" s="13">
        <f t="shared" si="12"/>
        <v>82</v>
      </c>
      <c r="DM17" s="13">
        <f t="shared" si="13"/>
        <v>95.5</v>
      </c>
      <c r="DN17" s="13">
        <f t="shared" si="14"/>
        <v>84.5</v>
      </c>
      <c r="DO17" s="13">
        <f t="shared" si="15"/>
        <v>89</v>
      </c>
      <c r="DP17" s="13">
        <f t="shared" si="16"/>
        <v>85.25</v>
      </c>
      <c r="DQ17" s="13">
        <f t="shared" si="17"/>
        <v>85.5</v>
      </c>
      <c r="DR17" s="13">
        <f t="shared" si="18"/>
        <v>85</v>
      </c>
      <c r="DS17">
        <f t="shared" si="19"/>
        <v>87.5</v>
      </c>
      <c r="DT17">
        <f t="shared" si="20"/>
        <v>87.166666666666671</v>
      </c>
      <c r="DU17">
        <f t="shared" si="21"/>
        <v>87.5</v>
      </c>
      <c r="DV17" s="31">
        <f t="shared" si="22"/>
        <v>86.701955782312922</v>
      </c>
    </row>
    <row r="18" spans="1:126">
      <c r="A18">
        <v>17</v>
      </c>
      <c r="B18">
        <f>'DATA US'!B31</f>
        <v>222310016</v>
      </c>
      <c r="C18" t="str">
        <f>'DATA US'!C31</f>
        <v>0064164564</v>
      </c>
      <c r="D18">
        <f>'DATA US'!B113</f>
        <v>222310096</v>
      </c>
      <c r="E18" t="str">
        <f>'DATA US'!C113</f>
        <v>0071561555</v>
      </c>
      <c r="F18" t="str">
        <f>'DATA US'!F113</f>
        <v>Bekasi</v>
      </c>
      <c r="G18" s="5" t="s">
        <v>611</v>
      </c>
      <c r="H18" t="str">
        <f>'DATA US'!D113</f>
        <v>MUHAMMAD KHOLIFI ILHAM</v>
      </c>
      <c r="I18">
        <v>85</v>
      </c>
      <c r="J18">
        <v>83</v>
      </c>
      <c r="K18">
        <v>89</v>
      </c>
      <c r="L18">
        <v>89</v>
      </c>
      <c r="M18">
        <v>83</v>
      </c>
      <c r="N18">
        <v>83</v>
      </c>
      <c r="O18">
        <v>84</v>
      </c>
      <c r="P18">
        <v>86</v>
      </c>
      <c r="Q18">
        <v>85</v>
      </c>
      <c r="R18">
        <v>85</v>
      </c>
      <c r="S18">
        <v>85</v>
      </c>
      <c r="T18">
        <v>87</v>
      </c>
      <c r="U18">
        <v>79</v>
      </c>
      <c r="V18">
        <v>79</v>
      </c>
      <c r="W18">
        <v>86</v>
      </c>
      <c r="X18">
        <v>90</v>
      </c>
      <c r="Y18">
        <v>85</v>
      </c>
      <c r="Z18">
        <v>93</v>
      </c>
      <c r="AA18">
        <v>78</v>
      </c>
      <c r="AB18">
        <v>78</v>
      </c>
      <c r="AC18">
        <v>82</v>
      </c>
      <c r="AD18">
        <v>84</v>
      </c>
      <c r="AE18">
        <v>85</v>
      </c>
      <c r="AF18">
        <v>85</v>
      </c>
      <c r="AG18">
        <v>79</v>
      </c>
      <c r="AH18">
        <v>79</v>
      </c>
      <c r="AI18">
        <v>87</v>
      </c>
      <c r="AJ18">
        <v>86</v>
      </c>
      <c r="AK18">
        <v>88</v>
      </c>
      <c r="AL18">
        <v>82</v>
      </c>
      <c r="AM18">
        <v>86</v>
      </c>
      <c r="AN18">
        <v>88</v>
      </c>
      <c r="AR18">
        <v>84</v>
      </c>
      <c r="AS18">
        <v>82</v>
      </c>
      <c r="AT18">
        <v>80</v>
      </c>
      <c r="AU18">
        <v>81</v>
      </c>
      <c r="AV18">
        <v>82</v>
      </c>
      <c r="AW18">
        <v>84</v>
      </c>
      <c r="AZ18">
        <v>80</v>
      </c>
      <c r="BA18">
        <v>85</v>
      </c>
      <c r="BB18">
        <v>85</v>
      </c>
      <c r="BC18">
        <v>85</v>
      </c>
      <c r="BD18">
        <v>85</v>
      </c>
      <c r="BE18">
        <v>86</v>
      </c>
      <c r="BF18">
        <v>78</v>
      </c>
      <c r="BG18">
        <v>87</v>
      </c>
      <c r="BH18">
        <v>94</v>
      </c>
      <c r="BI18">
        <v>91</v>
      </c>
      <c r="BJ18">
        <v>79</v>
      </c>
      <c r="BK18">
        <v>84</v>
      </c>
      <c r="BL18">
        <v>85</v>
      </c>
      <c r="BM18">
        <v>87</v>
      </c>
      <c r="BN18">
        <v>85</v>
      </c>
      <c r="BO18">
        <v>85</v>
      </c>
      <c r="BP18">
        <v>84</v>
      </c>
      <c r="BQ18">
        <v>82</v>
      </c>
      <c r="BR18" s="13">
        <v>90</v>
      </c>
      <c r="BS18">
        <v>90</v>
      </c>
      <c r="BT18">
        <v>89</v>
      </c>
      <c r="BU18">
        <v>88</v>
      </c>
      <c r="BV18">
        <v>83</v>
      </c>
      <c r="BW18">
        <v>89</v>
      </c>
      <c r="BX18">
        <v>85</v>
      </c>
      <c r="BY18">
        <v>89</v>
      </c>
      <c r="BZ18">
        <v>84</v>
      </c>
      <c r="CA18">
        <v>86</v>
      </c>
      <c r="CB18">
        <v>81</v>
      </c>
      <c r="CC18">
        <v>86</v>
      </c>
      <c r="CD18">
        <v>87</v>
      </c>
      <c r="CE18">
        <v>87</v>
      </c>
      <c r="CF18">
        <v>86</v>
      </c>
      <c r="CG18">
        <v>88</v>
      </c>
      <c r="CH18" s="17" t="s">
        <v>993</v>
      </c>
      <c r="CI18" s="17" t="s">
        <v>994</v>
      </c>
      <c r="CJ18" s="292" t="s">
        <v>1164</v>
      </c>
      <c r="CK18" s="24" t="s">
        <v>996</v>
      </c>
      <c r="CL18" s="17" t="s">
        <v>1023</v>
      </c>
      <c r="CM18" s="17" t="s">
        <v>1024</v>
      </c>
      <c r="CN18" s="19" t="s">
        <v>1103</v>
      </c>
      <c r="CO18" s="24" t="s">
        <v>996</v>
      </c>
      <c r="CT18" s="31">
        <v>91.6666666666667</v>
      </c>
      <c r="CU18">
        <v>84</v>
      </c>
      <c r="CV18">
        <v>84</v>
      </c>
      <c r="CW18">
        <v>91</v>
      </c>
      <c r="CX18" s="13">
        <v>83.75</v>
      </c>
      <c r="CY18" s="13">
        <v>89.285714285714306</v>
      </c>
      <c r="CZ18" s="13">
        <f t="shared" si="0"/>
        <v>85.333333333333329</v>
      </c>
      <c r="DA18" s="13">
        <f t="shared" si="1"/>
        <v>85.333333333333329</v>
      </c>
      <c r="DB18" s="13">
        <f t="shared" si="2"/>
        <v>82</v>
      </c>
      <c r="DC18" s="13">
        <f t="shared" si="3"/>
        <v>85.333333333333329</v>
      </c>
      <c r="DD18" s="13">
        <f t="shared" si="4"/>
        <v>83.5</v>
      </c>
      <c r="DE18" s="13">
        <f t="shared" si="5"/>
        <v>83</v>
      </c>
      <c r="DF18" s="13">
        <f t="shared" si="6"/>
        <v>81.75</v>
      </c>
      <c r="DG18" s="13">
        <f t="shared" si="7"/>
        <v>87</v>
      </c>
      <c r="DH18" s="13">
        <f t="shared" si="8"/>
        <v>85.5</v>
      </c>
      <c r="DI18" s="13">
        <f t="shared" si="9"/>
        <v>85</v>
      </c>
      <c r="DJ18" s="13">
        <f t="shared" si="10"/>
        <v>82.5</v>
      </c>
      <c r="DK18" s="13">
        <f t="shared" si="11"/>
        <v>82.5</v>
      </c>
      <c r="DL18" s="13">
        <f t="shared" si="12"/>
        <v>81.5</v>
      </c>
      <c r="DM18" s="13">
        <f t="shared" si="13"/>
        <v>92.5</v>
      </c>
      <c r="DN18" s="13">
        <f t="shared" si="14"/>
        <v>86</v>
      </c>
      <c r="DO18" s="13">
        <f t="shared" si="15"/>
        <v>89.25</v>
      </c>
      <c r="DP18" s="13">
        <f t="shared" si="16"/>
        <v>84</v>
      </c>
      <c r="DQ18" s="13">
        <f t="shared" si="17"/>
        <v>85.25</v>
      </c>
      <c r="DR18" s="13">
        <f t="shared" si="18"/>
        <v>85</v>
      </c>
      <c r="DS18">
        <f t="shared" si="19"/>
        <v>86.5</v>
      </c>
      <c r="DT18">
        <f t="shared" si="20"/>
        <v>82</v>
      </c>
      <c r="DU18">
        <f t="shared" si="21"/>
        <v>87</v>
      </c>
      <c r="DV18" s="31">
        <f t="shared" si="22"/>
        <v>85.409013605442183</v>
      </c>
    </row>
    <row r="19" spans="1:126">
      <c r="A19">
        <v>18</v>
      </c>
      <c r="B19">
        <f>'DATA US'!B32</f>
        <v>222310017</v>
      </c>
      <c r="C19" t="str">
        <f>'DATA US'!C32</f>
        <v>0076466900</v>
      </c>
      <c r="D19">
        <f>'DATA US'!B114</f>
        <v>222310097</v>
      </c>
      <c r="E19" t="str">
        <f>'DATA US'!C114</f>
        <v>0087401174</v>
      </c>
      <c r="F19" t="str">
        <f>'DATA US'!F114</f>
        <v>Bekasi</v>
      </c>
      <c r="G19" s="5" t="s">
        <v>616</v>
      </c>
      <c r="H19" t="str">
        <f>'DATA US'!D114</f>
        <v>NITA NATALIA</v>
      </c>
      <c r="I19">
        <v>82</v>
      </c>
      <c r="J19">
        <v>82</v>
      </c>
      <c r="K19">
        <v>88</v>
      </c>
      <c r="L19">
        <v>88</v>
      </c>
      <c r="M19">
        <v>83</v>
      </c>
      <c r="N19">
        <v>84</v>
      </c>
      <c r="O19">
        <v>82</v>
      </c>
      <c r="P19">
        <v>84</v>
      </c>
      <c r="Q19">
        <v>84</v>
      </c>
      <c r="R19">
        <v>84</v>
      </c>
      <c r="S19">
        <v>84</v>
      </c>
      <c r="T19">
        <v>86</v>
      </c>
      <c r="U19">
        <v>79</v>
      </c>
      <c r="V19">
        <v>79</v>
      </c>
      <c r="W19">
        <v>92</v>
      </c>
      <c r="X19">
        <v>92</v>
      </c>
      <c r="Y19">
        <v>93</v>
      </c>
      <c r="Z19">
        <v>93</v>
      </c>
      <c r="AA19">
        <v>75</v>
      </c>
      <c r="AB19">
        <v>77</v>
      </c>
      <c r="AC19">
        <v>78</v>
      </c>
      <c r="AD19">
        <v>80</v>
      </c>
      <c r="AE19">
        <v>86</v>
      </c>
      <c r="AF19">
        <v>89</v>
      </c>
      <c r="AG19">
        <v>82</v>
      </c>
      <c r="AH19">
        <v>77</v>
      </c>
      <c r="AI19">
        <v>85</v>
      </c>
      <c r="AJ19">
        <v>90</v>
      </c>
      <c r="AK19">
        <v>87</v>
      </c>
      <c r="AL19">
        <v>81</v>
      </c>
      <c r="AM19">
        <v>85</v>
      </c>
      <c r="AN19">
        <v>86</v>
      </c>
      <c r="AR19">
        <v>84</v>
      </c>
      <c r="AS19">
        <v>82</v>
      </c>
      <c r="AT19">
        <v>80</v>
      </c>
      <c r="AU19">
        <v>81</v>
      </c>
      <c r="AV19">
        <v>88</v>
      </c>
      <c r="AW19">
        <v>83</v>
      </c>
      <c r="AZ19">
        <v>76</v>
      </c>
      <c r="BA19">
        <v>85</v>
      </c>
      <c r="BB19">
        <v>83</v>
      </c>
      <c r="BC19">
        <v>84</v>
      </c>
      <c r="BD19">
        <v>84</v>
      </c>
      <c r="BE19">
        <v>84</v>
      </c>
      <c r="BF19">
        <v>78</v>
      </c>
      <c r="BG19">
        <v>87</v>
      </c>
      <c r="BH19">
        <v>94</v>
      </c>
      <c r="BI19">
        <v>91</v>
      </c>
      <c r="BJ19">
        <v>79</v>
      </c>
      <c r="BK19">
        <v>83</v>
      </c>
      <c r="BL19">
        <v>82</v>
      </c>
      <c r="BM19">
        <v>85</v>
      </c>
      <c r="BN19">
        <v>84</v>
      </c>
      <c r="BO19">
        <v>84</v>
      </c>
      <c r="BP19">
        <v>84</v>
      </c>
      <c r="BQ19">
        <v>81</v>
      </c>
      <c r="BR19" s="13">
        <v>90</v>
      </c>
      <c r="BS19">
        <v>88</v>
      </c>
      <c r="BT19">
        <v>91</v>
      </c>
      <c r="BU19">
        <v>90</v>
      </c>
      <c r="BV19">
        <v>83</v>
      </c>
      <c r="BW19">
        <v>83</v>
      </c>
      <c r="BX19">
        <v>84</v>
      </c>
      <c r="BY19">
        <v>91</v>
      </c>
      <c r="BZ19">
        <v>85</v>
      </c>
      <c r="CA19">
        <v>86</v>
      </c>
      <c r="CB19">
        <v>80</v>
      </c>
      <c r="CC19">
        <v>85</v>
      </c>
      <c r="CD19">
        <v>87</v>
      </c>
      <c r="CE19">
        <v>88</v>
      </c>
      <c r="CF19">
        <v>82</v>
      </c>
      <c r="CG19">
        <v>85</v>
      </c>
      <c r="CH19" s="17" t="s">
        <v>997</v>
      </c>
      <c r="CI19" s="17" t="s">
        <v>1049</v>
      </c>
      <c r="CJ19" s="17" t="s">
        <v>1176</v>
      </c>
      <c r="CK19" s="24" t="s">
        <v>1000</v>
      </c>
      <c r="CL19" s="17" t="s">
        <v>1098</v>
      </c>
      <c r="CM19" s="19" t="s">
        <v>1099</v>
      </c>
      <c r="CN19" s="17" t="s">
        <v>1177</v>
      </c>
      <c r="CO19" s="24" t="s">
        <v>1000</v>
      </c>
      <c r="CT19" s="31">
        <v>88.6666666666667</v>
      </c>
      <c r="CU19">
        <v>84</v>
      </c>
      <c r="CV19">
        <v>92</v>
      </c>
      <c r="CW19">
        <v>90</v>
      </c>
      <c r="CX19" s="13">
        <v>84.75</v>
      </c>
      <c r="CY19" s="13">
        <v>89.571428571428598</v>
      </c>
      <c r="CZ19" s="13">
        <f t="shared" si="0"/>
        <v>84.5</v>
      </c>
      <c r="DA19" s="13">
        <f t="shared" si="1"/>
        <v>84</v>
      </c>
      <c r="DB19" s="13">
        <f t="shared" si="2"/>
        <v>80.833333333333329</v>
      </c>
      <c r="DC19" s="13">
        <f t="shared" si="3"/>
        <v>88</v>
      </c>
      <c r="DD19" s="13">
        <f t="shared" si="4"/>
        <v>83.666666666666671</v>
      </c>
      <c r="DE19" s="13">
        <f t="shared" si="5"/>
        <v>83</v>
      </c>
      <c r="DF19" s="13">
        <f t="shared" si="6"/>
        <v>83</v>
      </c>
      <c r="DG19" s="13">
        <f t="shared" si="7"/>
        <v>83.5</v>
      </c>
      <c r="DH19" s="13">
        <f t="shared" si="8"/>
        <v>84</v>
      </c>
      <c r="DI19" s="13">
        <f t="shared" si="9"/>
        <v>83.5</v>
      </c>
      <c r="DJ19" s="13">
        <f t="shared" si="10"/>
        <v>80.5</v>
      </c>
      <c r="DK19" s="13">
        <f t="shared" si="11"/>
        <v>82.5</v>
      </c>
      <c r="DL19" s="13">
        <f t="shared" si="12"/>
        <v>81</v>
      </c>
      <c r="DM19" s="13">
        <f t="shared" si="13"/>
        <v>92.5</v>
      </c>
      <c r="DN19" s="13">
        <f t="shared" si="14"/>
        <v>83.5</v>
      </c>
      <c r="DO19" s="13">
        <f t="shared" si="15"/>
        <v>89.75</v>
      </c>
      <c r="DP19" s="13">
        <f t="shared" si="16"/>
        <v>83.25</v>
      </c>
      <c r="DQ19" s="13">
        <f t="shared" si="17"/>
        <v>85</v>
      </c>
      <c r="DR19" s="13">
        <f t="shared" si="18"/>
        <v>85.5</v>
      </c>
      <c r="DS19">
        <f t="shared" si="19"/>
        <v>85.25</v>
      </c>
      <c r="DT19">
        <f t="shared" si="20"/>
        <v>80.833333333333329</v>
      </c>
      <c r="DU19">
        <f t="shared" si="21"/>
        <v>85.5</v>
      </c>
      <c r="DV19" s="31">
        <f t="shared" si="22"/>
        <v>85.073979591836746</v>
      </c>
    </row>
    <row r="20" spans="1:126">
      <c r="A20">
        <v>19</v>
      </c>
      <c r="B20">
        <f>'DATA US'!B33</f>
        <v>222310018</v>
      </c>
      <c r="C20" t="str">
        <f>'DATA US'!C33</f>
        <v>0078778308</v>
      </c>
      <c r="D20">
        <f>'DATA US'!B115</f>
        <v>222310143</v>
      </c>
      <c r="E20" t="str">
        <f>'DATA US'!C115</f>
        <v>0072009593</v>
      </c>
      <c r="F20" t="str">
        <f>'DATA US'!F115</f>
        <v xml:space="preserve"> Bekasi</v>
      </c>
      <c r="G20" s="5" t="s">
        <v>622</v>
      </c>
      <c r="H20" t="str">
        <f>'DATA US'!D115</f>
        <v>OKTAVIONA SAFITRI</v>
      </c>
      <c r="I20">
        <v>82</v>
      </c>
      <c r="J20">
        <v>76</v>
      </c>
      <c r="K20">
        <v>84</v>
      </c>
      <c r="L20">
        <v>85</v>
      </c>
      <c r="M20">
        <v>83</v>
      </c>
      <c r="N20">
        <v>83</v>
      </c>
      <c r="O20">
        <v>81</v>
      </c>
      <c r="P20">
        <v>80</v>
      </c>
      <c r="Q20">
        <v>82</v>
      </c>
      <c r="R20">
        <v>83</v>
      </c>
      <c r="S20">
        <v>82</v>
      </c>
      <c r="T20">
        <v>85</v>
      </c>
      <c r="U20">
        <v>79</v>
      </c>
      <c r="V20">
        <v>78</v>
      </c>
      <c r="W20">
        <v>87</v>
      </c>
      <c r="X20">
        <v>89</v>
      </c>
      <c r="Y20">
        <v>84</v>
      </c>
      <c r="Z20">
        <v>86</v>
      </c>
      <c r="AA20">
        <v>77</v>
      </c>
      <c r="AB20">
        <v>75</v>
      </c>
      <c r="AC20">
        <v>79</v>
      </c>
      <c r="AD20">
        <v>78</v>
      </c>
      <c r="AE20">
        <v>82</v>
      </c>
      <c r="AF20">
        <v>85</v>
      </c>
      <c r="AG20">
        <v>83</v>
      </c>
      <c r="AH20">
        <v>80</v>
      </c>
      <c r="AI20">
        <v>85</v>
      </c>
      <c r="AJ20">
        <v>84</v>
      </c>
      <c r="AK20">
        <v>84</v>
      </c>
      <c r="AL20">
        <v>80</v>
      </c>
      <c r="AM20">
        <v>86</v>
      </c>
      <c r="AN20">
        <v>85</v>
      </c>
      <c r="AR20">
        <v>84</v>
      </c>
      <c r="AS20">
        <v>80</v>
      </c>
      <c r="AT20">
        <v>80</v>
      </c>
      <c r="AU20">
        <v>81</v>
      </c>
      <c r="AV20">
        <v>88</v>
      </c>
      <c r="AW20">
        <v>82</v>
      </c>
      <c r="AZ20">
        <v>77</v>
      </c>
      <c r="BA20">
        <v>80</v>
      </c>
      <c r="BB20">
        <v>83</v>
      </c>
      <c r="BC20">
        <v>84</v>
      </c>
      <c r="BD20">
        <v>84</v>
      </c>
      <c r="BE20">
        <v>84</v>
      </c>
      <c r="BF20">
        <v>78</v>
      </c>
      <c r="BG20">
        <v>79</v>
      </c>
      <c r="BH20">
        <v>83</v>
      </c>
      <c r="BI20">
        <v>78</v>
      </c>
      <c r="BJ20">
        <v>80</v>
      </c>
      <c r="BK20">
        <v>81</v>
      </c>
      <c r="BL20">
        <v>79</v>
      </c>
      <c r="BM20">
        <v>84</v>
      </c>
      <c r="BN20">
        <v>83</v>
      </c>
      <c r="BO20">
        <v>83</v>
      </c>
      <c r="BP20">
        <v>82</v>
      </c>
      <c r="BQ20">
        <v>80</v>
      </c>
      <c r="BR20" s="13">
        <v>87</v>
      </c>
      <c r="BS20">
        <v>85</v>
      </c>
      <c r="BT20">
        <v>88</v>
      </c>
      <c r="BU20">
        <v>87</v>
      </c>
      <c r="BV20">
        <v>82</v>
      </c>
      <c r="BW20">
        <v>85</v>
      </c>
      <c r="BX20">
        <v>83</v>
      </c>
      <c r="BY20">
        <v>89</v>
      </c>
      <c r="BZ20">
        <v>83</v>
      </c>
      <c r="CA20">
        <v>86</v>
      </c>
      <c r="CB20">
        <v>81</v>
      </c>
      <c r="CC20">
        <v>81</v>
      </c>
      <c r="CD20">
        <v>87</v>
      </c>
      <c r="CE20">
        <v>87</v>
      </c>
      <c r="CF20">
        <v>84</v>
      </c>
      <c r="CG20">
        <v>81</v>
      </c>
      <c r="CH20" s="43" t="s">
        <v>1178</v>
      </c>
      <c r="CI20" s="19" t="s">
        <v>1154</v>
      </c>
      <c r="CJ20" s="20" t="s">
        <v>1179</v>
      </c>
      <c r="CK20" s="24" t="s">
        <v>996</v>
      </c>
      <c r="CT20" s="31">
        <v>89</v>
      </c>
      <c r="CU20">
        <v>84</v>
      </c>
      <c r="CV20">
        <v>83</v>
      </c>
      <c r="CW20">
        <v>84</v>
      </c>
      <c r="CX20" s="13">
        <v>83.25</v>
      </c>
      <c r="CY20" s="13">
        <v>85.285714285714306</v>
      </c>
      <c r="CZ20" s="13">
        <f t="shared" si="0"/>
        <v>82.166666666666671</v>
      </c>
      <c r="DA20" s="13">
        <f t="shared" si="1"/>
        <v>82.166666666666671</v>
      </c>
      <c r="DB20" s="13">
        <f t="shared" si="2"/>
        <v>79.333333333333329</v>
      </c>
      <c r="DC20" s="13">
        <f t="shared" si="3"/>
        <v>83.833333333333329</v>
      </c>
      <c r="DD20" s="13">
        <f t="shared" si="4"/>
        <v>82.666666666666671</v>
      </c>
      <c r="DE20" s="13">
        <f t="shared" si="5"/>
        <v>82</v>
      </c>
      <c r="DF20" s="13">
        <f t="shared" si="6"/>
        <v>82.75</v>
      </c>
      <c r="DG20" s="13">
        <f t="shared" si="7"/>
        <v>82.5</v>
      </c>
      <c r="DH20" s="13">
        <f t="shared" si="8"/>
        <v>84</v>
      </c>
      <c r="DI20" s="13">
        <f t="shared" si="9"/>
        <v>83.5</v>
      </c>
      <c r="DJ20" s="13">
        <f t="shared" si="10"/>
        <v>78.5</v>
      </c>
      <c r="DK20" s="13">
        <f t="shared" si="11"/>
        <v>78.5</v>
      </c>
      <c r="DL20" s="13">
        <f t="shared" si="12"/>
        <v>80.5</v>
      </c>
      <c r="DM20" s="13">
        <f t="shared" si="13"/>
        <v>80.5</v>
      </c>
      <c r="DN20" s="13">
        <f t="shared" si="14"/>
        <v>81.5</v>
      </c>
      <c r="DO20" s="13">
        <f t="shared" si="15"/>
        <v>86.75</v>
      </c>
      <c r="DP20" s="13">
        <f t="shared" si="16"/>
        <v>82</v>
      </c>
      <c r="DQ20" s="13">
        <f t="shared" si="17"/>
        <v>84</v>
      </c>
      <c r="DR20" s="13">
        <f t="shared" si="18"/>
        <v>84.5</v>
      </c>
      <c r="DS20">
        <f t="shared" si="19"/>
        <v>84.75</v>
      </c>
      <c r="DT20">
        <f t="shared" si="20"/>
        <v>79.333333333333329</v>
      </c>
      <c r="DU20">
        <f t="shared" si="21"/>
        <v>85.5</v>
      </c>
      <c r="DV20" s="31">
        <f t="shared" si="22"/>
        <v>82.849489795918359</v>
      </c>
    </row>
    <row r="21" spans="1:126">
      <c r="A21">
        <v>20</v>
      </c>
      <c r="B21">
        <f>'DATA US'!B34</f>
        <v>222310019</v>
      </c>
      <c r="C21" t="str">
        <f>'DATA US'!C34</f>
        <v>0062690739</v>
      </c>
      <c r="D21">
        <f>'DATA US'!B116</f>
        <v>222310098</v>
      </c>
      <c r="E21" t="str">
        <f>'DATA US'!C116</f>
        <v>0071571646</v>
      </c>
      <c r="F21" t="str">
        <f>'DATA US'!F116</f>
        <v>Bekasi</v>
      </c>
      <c r="G21" s="5" t="s">
        <v>628</v>
      </c>
      <c r="H21" t="str">
        <f>'DATA US'!D116</f>
        <v>RAHAYU OKTAFIANI</v>
      </c>
      <c r="I21">
        <v>85</v>
      </c>
      <c r="J21">
        <v>85</v>
      </c>
      <c r="K21">
        <v>89</v>
      </c>
      <c r="L21">
        <v>88</v>
      </c>
      <c r="M21">
        <v>83</v>
      </c>
      <c r="N21">
        <v>83</v>
      </c>
      <c r="O21">
        <v>84</v>
      </c>
      <c r="P21">
        <v>86</v>
      </c>
      <c r="Q21">
        <v>86</v>
      </c>
      <c r="R21">
        <v>84</v>
      </c>
      <c r="S21">
        <v>85</v>
      </c>
      <c r="T21">
        <v>87</v>
      </c>
      <c r="U21">
        <v>79</v>
      </c>
      <c r="V21">
        <v>78</v>
      </c>
      <c r="W21">
        <v>89</v>
      </c>
      <c r="X21">
        <v>90</v>
      </c>
      <c r="Y21">
        <v>87</v>
      </c>
      <c r="Z21">
        <v>88</v>
      </c>
      <c r="AA21">
        <v>77</v>
      </c>
      <c r="AB21">
        <v>75</v>
      </c>
      <c r="AC21">
        <v>80</v>
      </c>
      <c r="AD21">
        <v>84</v>
      </c>
      <c r="AE21">
        <v>88</v>
      </c>
      <c r="AF21">
        <v>90</v>
      </c>
      <c r="AG21">
        <v>83</v>
      </c>
      <c r="AH21">
        <v>80</v>
      </c>
      <c r="AI21">
        <v>87</v>
      </c>
      <c r="AJ21">
        <v>90</v>
      </c>
      <c r="AK21">
        <v>91</v>
      </c>
      <c r="AL21">
        <v>84</v>
      </c>
      <c r="AM21">
        <v>86</v>
      </c>
      <c r="AN21">
        <v>85</v>
      </c>
      <c r="AR21">
        <v>84</v>
      </c>
      <c r="AS21">
        <v>81</v>
      </c>
      <c r="AT21">
        <v>80</v>
      </c>
      <c r="AU21">
        <v>81</v>
      </c>
      <c r="AV21">
        <v>88</v>
      </c>
      <c r="AW21">
        <v>83</v>
      </c>
      <c r="AZ21">
        <v>77</v>
      </c>
      <c r="BA21">
        <v>81</v>
      </c>
      <c r="BB21">
        <v>83</v>
      </c>
      <c r="BC21">
        <v>85</v>
      </c>
      <c r="BD21">
        <v>84</v>
      </c>
      <c r="BE21">
        <v>84</v>
      </c>
      <c r="BF21">
        <v>78</v>
      </c>
      <c r="BG21">
        <v>85</v>
      </c>
      <c r="BH21">
        <v>83</v>
      </c>
      <c r="BI21">
        <v>93</v>
      </c>
      <c r="BJ21">
        <v>80</v>
      </c>
      <c r="BK21">
        <v>81</v>
      </c>
      <c r="BL21">
        <v>83</v>
      </c>
      <c r="BM21">
        <v>86</v>
      </c>
      <c r="BN21">
        <v>84</v>
      </c>
      <c r="BO21">
        <v>84</v>
      </c>
      <c r="BP21">
        <v>83</v>
      </c>
      <c r="BQ21">
        <v>84</v>
      </c>
      <c r="BR21" s="13">
        <v>89</v>
      </c>
      <c r="BS21">
        <v>89</v>
      </c>
      <c r="BT21">
        <v>89</v>
      </c>
      <c r="BU21">
        <v>87</v>
      </c>
      <c r="BV21">
        <v>81</v>
      </c>
      <c r="BW21">
        <v>87</v>
      </c>
      <c r="BX21">
        <v>85</v>
      </c>
      <c r="BY21">
        <v>88</v>
      </c>
      <c r="BZ21">
        <v>83</v>
      </c>
      <c r="CA21">
        <v>86</v>
      </c>
      <c r="CB21">
        <v>82</v>
      </c>
      <c r="CC21">
        <v>87</v>
      </c>
      <c r="CD21">
        <v>87</v>
      </c>
      <c r="CE21">
        <v>87</v>
      </c>
      <c r="CF21">
        <v>85</v>
      </c>
      <c r="CG21">
        <v>85</v>
      </c>
      <c r="CH21" t="s">
        <v>1147</v>
      </c>
      <c r="CI21" t="s">
        <v>1148</v>
      </c>
      <c r="CJ21" t="s">
        <v>1149</v>
      </c>
      <c r="CK21" s="24" t="s">
        <v>1000</v>
      </c>
      <c r="CT21" s="31">
        <v>91</v>
      </c>
      <c r="CU21">
        <v>85.3333333333333</v>
      </c>
      <c r="CV21">
        <v>97</v>
      </c>
      <c r="CW21">
        <v>90</v>
      </c>
      <c r="CX21" s="13">
        <v>82.25</v>
      </c>
      <c r="CY21" s="13">
        <v>88.571428571428598</v>
      </c>
      <c r="CZ21" s="13">
        <f t="shared" si="0"/>
        <v>85.5</v>
      </c>
      <c r="DA21" s="13">
        <f t="shared" si="1"/>
        <v>85.333333333333329</v>
      </c>
      <c r="DB21" s="13">
        <f t="shared" si="2"/>
        <v>82.333333333333329</v>
      </c>
      <c r="DC21" s="13">
        <f t="shared" si="3"/>
        <v>85.166666666666671</v>
      </c>
      <c r="DD21" s="13">
        <f t="shared" si="4"/>
        <v>85.833333333333329</v>
      </c>
      <c r="DE21" s="13">
        <f t="shared" si="5"/>
        <v>82.5</v>
      </c>
      <c r="DF21" s="13">
        <f t="shared" si="6"/>
        <v>83</v>
      </c>
      <c r="DG21" s="13">
        <f t="shared" si="7"/>
        <v>85</v>
      </c>
      <c r="DH21" s="13">
        <f t="shared" si="8"/>
        <v>84</v>
      </c>
      <c r="DI21" s="13">
        <f t="shared" si="9"/>
        <v>84</v>
      </c>
      <c r="DJ21" s="13">
        <f t="shared" si="10"/>
        <v>79</v>
      </c>
      <c r="DK21" s="13">
        <f t="shared" si="11"/>
        <v>81.5</v>
      </c>
      <c r="DL21" s="13">
        <f t="shared" si="12"/>
        <v>80.5</v>
      </c>
      <c r="DM21" s="13">
        <f t="shared" si="13"/>
        <v>88</v>
      </c>
      <c r="DN21" s="13">
        <f t="shared" si="14"/>
        <v>84.5</v>
      </c>
      <c r="DO21" s="13">
        <f t="shared" si="15"/>
        <v>88.5</v>
      </c>
      <c r="DP21" s="13">
        <f t="shared" si="16"/>
        <v>83.75</v>
      </c>
      <c r="DQ21" s="13">
        <f t="shared" si="17"/>
        <v>85.75</v>
      </c>
      <c r="DR21" s="13">
        <f t="shared" si="18"/>
        <v>84.5</v>
      </c>
      <c r="DS21">
        <f t="shared" si="19"/>
        <v>85.25</v>
      </c>
      <c r="DT21">
        <f t="shared" si="20"/>
        <v>82.333333333333329</v>
      </c>
      <c r="DU21">
        <f t="shared" si="21"/>
        <v>85.5</v>
      </c>
      <c r="DV21" s="31">
        <f t="shared" si="22"/>
        <v>85.210884353741491</v>
      </c>
    </row>
    <row r="22" spans="1:126">
      <c r="A22">
        <v>21</v>
      </c>
      <c r="B22">
        <f>'DATA US'!B35</f>
        <v>222310020</v>
      </c>
      <c r="C22" t="str">
        <f>'DATA US'!C35</f>
        <v>0073389680</v>
      </c>
      <c r="D22">
        <f>'DATA US'!B117</f>
        <v>222310099</v>
      </c>
      <c r="E22" t="str">
        <f>'DATA US'!C117</f>
        <v>0071682395</v>
      </c>
      <c r="F22" t="str">
        <f>'DATA US'!F117</f>
        <v>Bekasi</v>
      </c>
      <c r="G22" s="5" t="s">
        <v>633</v>
      </c>
      <c r="H22" t="str">
        <f>'DATA US'!D117</f>
        <v>RAHMAWATI DEWI</v>
      </c>
      <c r="I22">
        <v>83</v>
      </c>
      <c r="J22">
        <v>83</v>
      </c>
      <c r="K22">
        <v>89</v>
      </c>
      <c r="L22">
        <v>91</v>
      </c>
      <c r="M22">
        <v>84</v>
      </c>
      <c r="N22">
        <v>84</v>
      </c>
      <c r="O22">
        <v>84</v>
      </c>
      <c r="P22">
        <v>87</v>
      </c>
      <c r="Q22">
        <v>86</v>
      </c>
      <c r="R22">
        <v>86</v>
      </c>
      <c r="S22">
        <v>86</v>
      </c>
      <c r="T22">
        <v>88</v>
      </c>
      <c r="U22">
        <v>80</v>
      </c>
      <c r="V22">
        <v>79</v>
      </c>
      <c r="W22">
        <v>91</v>
      </c>
      <c r="X22">
        <v>93</v>
      </c>
      <c r="Y22">
        <v>90</v>
      </c>
      <c r="Z22">
        <v>92</v>
      </c>
      <c r="AA22">
        <v>83</v>
      </c>
      <c r="AB22">
        <v>79</v>
      </c>
      <c r="AC22">
        <v>78</v>
      </c>
      <c r="AD22">
        <v>82</v>
      </c>
      <c r="AE22">
        <v>89</v>
      </c>
      <c r="AF22">
        <v>84</v>
      </c>
      <c r="AG22">
        <v>84</v>
      </c>
      <c r="AH22">
        <v>79</v>
      </c>
      <c r="AI22">
        <v>87</v>
      </c>
      <c r="AJ22">
        <v>93</v>
      </c>
      <c r="AK22">
        <v>94</v>
      </c>
      <c r="AL22">
        <v>89</v>
      </c>
      <c r="AM22">
        <v>88</v>
      </c>
      <c r="AN22">
        <v>88</v>
      </c>
      <c r="AR22">
        <v>84</v>
      </c>
      <c r="AS22">
        <v>85</v>
      </c>
      <c r="AT22">
        <v>83</v>
      </c>
      <c r="AU22">
        <v>82</v>
      </c>
      <c r="AV22">
        <v>81</v>
      </c>
      <c r="AW22">
        <v>82</v>
      </c>
      <c r="AZ22">
        <v>80</v>
      </c>
      <c r="BA22">
        <v>90</v>
      </c>
      <c r="BB22">
        <v>85</v>
      </c>
      <c r="BC22">
        <v>85</v>
      </c>
      <c r="BD22">
        <v>85</v>
      </c>
      <c r="BE22">
        <v>85</v>
      </c>
      <c r="BF22">
        <v>77</v>
      </c>
      <c r="BG22">
        <v>86</v>
      </c>
      <c r="BH22">
        <v>95</v>
      </c>
      <c r="BI22">
        <v>92</v>
      </c>
      <c r="BJ22">
        <v>79</v>
      </c>
      <c r="BK22">
        <v>86</v>
      </c>
      <c r="BL22">
        <v>86</v>
      </c>
      <c r="BM22">
        <v>89</v>
      </c>
      <c r="BN22">
        <v>83</v>
      </c>
      <c r="BO22">
        <v>84</v>
      </c>
      <c r="BP22">
        <v>85</v>
      </c>
      <c r="BQ22">
        <v>89</v>
      </c>
      <c r="BR22" s="13">
        <v>90</v>
      </c>
      <c r="BS22">
        <v>89</v>
      </c>
      <c r="BT22">
        <v>92</v>
      </c>
      <c r="BU22">
        <v>91</v>
      </c>
      <c r="BV22">
        <v>88</v>
      </c>
      <c r="BW22">
        <v>89</v>
      </c>
      <c r="BX22">
        <v>88</v>
      </c>
      <c r="BY22">
        <v>91</v>
      </c>
      <c r="BZ22">
        <v>85</v>
      </c>
      <c r="CA22">
        <v>87</v>
      </c>
      <c r="CB22">
        <v>80</v>
      </c>
      <c r="CC22">
        <v>87</v>
      </c>
      <c r="CD22">
        <v>88</v>
      </c>
      <c r="CE22">
        <v>88</v>
      </c>
      <c r="CF22">
        <v>84</v>
      </c>
      <c r="CG22">
        <v>86</v>
      </c>
      <c r="CH22" s="17" t="s">
        <v>1016</v>
      </c>
      <c r="CI22" s="17" t="s">
        <v>1180</v>
      </c>
      <c r="CJ22" s="17" t="s">
        <v>1181</v>
      </c>
      <c r="CK22" s="24" t="s">
        <v>1000</v>
      </c>
      <c r="CL22" s="19"/>
      <c r="CM22" s="19"/>
      <c r="CN22" s="19"/>
      <c r="CO22" s="32"/>
      <c r="CP22" s="32"/>
      <c r="CQ22" s="32"/>
      <c r="CR22" s="32"/>
      <c r="CS22" s="32"/>
      <c r="CT22" s="31">
        <v>91.3333333333333</v>
      </c>
      <c r="CU22">
        <v>84.6666666666667</v>
      </c>
      <c r="CV22">
        <v>90</v>
      </c>
      <c r="CW22">
        <v>91</v>
      </c>
      <c r="CX22" s="13">
        <v>84.75</v>
      </c>
      <c r="CY22" s="13">
        <v>88.857142857142904</v>
      </c>
      <c r="CZ22" s="13">
        <f t="shared" si="0"/>
        <v>85.666666666666671</v>
      </c>
      <c r="DA22" s="13">
        <f t="shared" si="1"/>
        <v>86.166666666666671</v>
      </c>
      <c r="DB22" s="13">
        <f t="shared" si="2"/>
        <v>82.5</v>
      </c>
      <c r="DC22" s="13">
        <f t="shared" si="3"/>
        <v>87.5</v>
      </c>
      <c r="DD22" s="13">
        <f t="shared" si="4"/>
        <v>87.666666666666671</v>
      </c>
      <c r="DE22" s="13">
        <f t="shared" si="5"/>
        <v>84.5</v>
      </c>
      <c r="DF22" s="13">
        <f t="shared" si="6"/>
        <v>82</v>
      </c>
      <c r="DG22" s="13">
        <f t="shared" si="7"/>
        <v>85</v>
      </c>
      <c r="DH22" s="13">
        <f t="shared" si="8"/>
        <v>85</v>
      </c>
      <c r="DI22" s="13">
        <f t="shared" si="9"/>
        <v>85</v>
      </c>
      <c r="DJ22" s="13">
        <f t="shared" si="10"/>
        <v>85</v>
      </c>
      <c r="DK22" s="13">
        <f t="shared" si="11"/>
        <v>81.5</v>
      </c>
      <c r="DL22" s="13">
        <f t="shared" si="12"/>
        <v>82.5</v>
      </c>
      <c r="DM22" s="13">
        <f t="shared" si="13"/>
        <v>93.5</v>
      </c>
      <c r="DN22" s="13">
        <f t="shared" si="14"/>
        <v>87.5</v>
      </c>
      <c r="DO22" s="13">
        <f t="shared" si="15"/>
        <v>90.5</v>
      </c>
      <c r="DP22" s="13">
        <f t="shared" si="16"/>
        <v>85.25</v>
      </c>
      <c r="DQ22" s="13">
        <f t="shared" si="17"/>
        <v>85.75</v>
      </c>
      <c r="DR22" s="13">
        <f t="shared" si="18"/>
        <v>86</v>
      </c>
      <c r="DS22">
        <f t="shared" si="19"/>
        <v>89</v>
      </c>
      <c r="DT22">
        <f t="shared" si="20"/>
        <v>82.5</v>
      </c>
      <c r="DU22">
        <f t="shared" si="21"/>
        <v>88</v>
      </c>
      <c r="DV22" s="31">
        <f t="shared" si="22"/>
        <v>86.378826530612244</v>
      </c>
    </row>
    <row r="23" spans="1:126">
      <c r="A23">
        <v>22</v>
      </c>
      <c r="B23">
        <f>'DATA US'!B36</f>
        <v>222310021</v>
      </c>
      <c r="C23" t="str">
        <f>'DATA US'!C36</f>
        <v>0078597234</v>
      </c>
      <c r="D23">
        <f>'DATA US'!B118</f>
        <v>222310100</v>
      </c>
      <c r="E23" t="str">
        <f>'DATA US'!C118</f>
        <v>0077401437</v>
      </c>
      <c r="F23" t="str">
        <f>'DATA US'!F118</f>
        <v>Bekasi</v>
      </c>
      <c r="G23" s="5" t="s">
        <v>638</v>
      </c>
      <c r="H23" t="str">
        <f>'DATA US'!D118</f>
        <v>RISA MELINDA</v>
      </c>
      <c r="I23">
        <v>82</v>
      </c>
      <c r="J23">
        <v>82</v>
      </c>
      <c r="K23">
        <v>85</v>
      </c>
      <c r="L23">
        <v>91</v>
      </c>
      <c r="M23">
        <v>83</v>
      </c>
      <c r="N23">
        <v>83</v>
      </c>
      <c r="O23">
        <v>84</v>
      </c>
      <c r="P23">
        <v>84</v>
      </c>
      <c r="Q23">
        <v>82</v>
      </c>
      <c r="R23">
        <v>84</v>
      </c>
      <c r="S23">
        <v>84</v>
      </c>
      <c r="T23">
        <v>86</v>
      </c>
      <c r="U23">
        <v>84</v>
      </c>
      <c r="V23">
        <v>79</v>
      </c>
      <c r="W23">
        <v>85</v>
      </c>
      <c r="X23">
        <v>86</v>
      </c>
      <c r="Y23">
        <v>84</v>
      </c>
      <c r="Z23">
        <v>86</v>
      </c>
      <c r="AA23">
        <v>85</v>
      </c>
      <c r="AB23">
        <v>85</v>
      </c>
      <c r="AC23">
        <v>83</v>
      </c>
      <c r="AD23">
        <v>79</v>
      </c>
      <c r="AE23">
        <v>86</v>
      </c>
      <c r="AF23">
        <v>92</v>
      </c>
      <c r="AG23">
        <v>83</v>
      </c>
      <c r="AH23">
        <v>86</v>
      </c>
      <c r="AI23">
        <v>82</v>
      </c>
      <c r="AJ23">
        <v>86</v>
      </c>
      <c r="AK23">
        <v>88</v>
      </c>
      <c r="AL23">
        <v>80</v>
      </c>
      <c r="AM23">
        <v>86</v>
      </c>
      <c r="AN23">
        <v>87</v>
      </c>
      <c r="AR23">
        <v>82</v>
      </c>
      <c r="AS23">
        <v>83</v>
      </c>
      <c r="AT23">
        <v>80</v>
      </c>
      <c r="AU23">
        <v>81</v>
      </c>
      <c r="AV23">
        <v>86</v>
      </c>
      <c r="AW23">
        <v>83</v>
      </c>
      <c r="AZ23">
        <v>80</v>
      </c>
      <c r="BA23">
        <v>86</v>
      </c>
      <c r="BB23">
        <v>85</v>
      </c>
      <c r="BC23">
        <v>84</v>
      </c>
      <c r="BD23">
        <v>85</v>
      </c>
      <c r="BE23">
        <v>83</v>
      </c>
      <c r="BF23">
        <v>78</v>
      </c>
      <c r="BG23">
        <v>87</v>
      </c>
      <c r="BH23">
        <v>87</v>
      </c>
      <c r="BI23">
        <v>90</v>
      </c>
      <c r="BJ23">
        <v>78</v>
      </c>
      <c r="BK23">
        <v>81</v>
      </c>
      <c r="BL23">
        <v>82</v>
      </c>
      <c r="BM23">
        <v>86</v>
      </c>
      <c r="BN23">
        <v>83</v>
      </c>
      <c r="BO23">
        <v>84</v>
      </c>
      <c r="BP23">
        <v>85</v>
      </c>
      <c r="BQ23">
        <v>80</v>
      </c>
      <c r="BR23" s="13">
        <v>87</v>
      </c>
      <c r="BS23">
        <v>89</v>
      </c>
      <c r="BT23">
        <v>91</v>
      </c>
      <c r="BU23">
        <v>91</v>
      </c>
      <c r="BV23">
        <v>84</v>
      </c>
      <c r="BW23">
        <v>92</v>
      </c>
      <c r="BX23">
        <v>87</v>
      </c>
      <c r="BY23">
        <v>92</v>
      </c>
      <c r="BZ23">
        <v>84</v>
      </c>
      <c r="CA23">
        <v>87</v>
      </c>
      <c r="CB23">
        <v>80</v>
      </c>
      <c r="CC23">
        <v>83</v>
      </c>
      <c r="CD23">
        <v>86</v>
      </c>
      <c r="CE23">
        <v>86</v>
      </c>
      <c r="CF23">
        <v>83</v>
      </c>
      <c r="CG23">
        <v>86</v>
      </c>
      <c r="CH23" s="17" t="s">
        <v>1182</v>
      </c>
      <c r="CI23" s="17" t="s">
        <v>1183</v>
      </c>
      <c r="CJ23" s="17" t="s">
        <v>1184</v>
      </c>
      <c r="CK23" s="24" t="s">
        <v>996</v>
      </c>
      <c r="CL23" s="17" t="s">
        <v>1098</v>
      </c>
      <c r="CM23" s="19" t="s">
        <v>1099</v>
      </c>
      <c r="CN23" s="17" t="s">
        <v>1177</v>
      </c>
      <c r="CO23" s="298" t="s">
        <v>996</v>
      </c>
      <c r="CT23" s="31">
        <v>89.3333333333333</v>
      </c>
      <c r="CU23">
        <v>85</v>
      </c>
      <c r="CV23">
        <v>95</v>
      </c>
      <c r="CW23">
        <v>81</v>
      </c>
      <c r="CX23" s="13">
        <v>84.75</v>
      </c>
      <c r="CY23" s="13">
        <v>88.857142857142904</v>
      </c>
      <c r="CZ23" s="13">
        <f t="shared" si="0"/>
        <v>84.333333333333329</v>
      </c>
      <c r="DA23" s="13">
        <f t="shared" si="1"/>
        <v>84</v>
      </c>
      <c r="DB23" s="13">
        <f t="shared" si="2"/>
        <v>85</v>
      </c>
      <c r="DC23" s="13">
        <f t="shared" si="3"/>
        <v>84</v>
      </c>
      <c r="DD23" s="13">
        <f t="shared" si="4"/>
        <v>84.166666666666671</v>
      </c>
      <c r="DE23" s="13">
        <f t="shared" si="5"/>
        <v>82.5</v>
      </c>
      <c r="DF23" s="13">
        <f t="shared" si="6"/>
        <v>82.5</v>
      </c>
      <c r="DG23" s="13">
        <f t="shared" si="7"/>
        <v>84.5</v>
      </c>
      <c r="DH23" s="13">
        <f t="shared" si="8"/>
        <v>84</v>
      </c>
      <c r="DI23" s="13">
        <f t="shared" si="9"/>
        <v>84.5</v>
      </c>
      <c r="DJ23" s="13">
        <f t="shared" si="10"/>
        <v>83</v>
      </c>
      <c r="DK23" s="13">
        <f t="shared" si="11"/>
        <v>82.5</v>
      </c>
      <c r="DL23" s="13">
        <f t="shared" si="12"/>
        <v>79.5</v>
      </c>
      <c r="DM23" s="13">
        <f t="shared" si="13"/>
        <v>88.5</v>
      </c>
      <c r="DN23" s="13">
        <f t="shared" si="14"/>
        <v>84</v>
      </c>
      <c r="DO23" s="13">
        <f t="shared" si="15"/>
        <v>89.5</v>
      </c>
      <c r="DP23" s="13">
        <f t="shared" si="16"/>
        <v>83</v>
      </c>
      <c r="DQ23" s="13">
        <f t="shared" si="17"/>
        <v>83.75</v>
      </c>
      <c r="DR23" s="13">
        <f t="shared" si="18"/>
        <v>85.5</v>
      </c>
      <c r="DS23">
        <f t="shared" si="19"/>
        <v>88.75</v>
      </c>
      <c r="DT23">
        <f t="shared" si="20"/>
        <v>85</v>
      </c>
      <c r="DU23">
        <f t="shared" si="21"/>
        <v>86.5</v>
      </c>
      <c r="DV23" s="31">
        <f t="shared" si="22"/>
        <v>85.105017006802726</v>
      </c>
    </row>
    <row r="24" spans="1:126">
      <c r="A24">
        <v>23</v>
      </c>
      <c r="B24">
        <f>'DATA US'!B37</f>
        <v>222310022</v>
      </c>
      <c r="C24" t="str">
        <f>'DATA US'!C37</f>
        <v>0072510220</v>
      </c>
      <c r="D24">
        <f>'DATA US'!B119</f>
        <v>222310101</v>
      </c>
      <c r="E24" t="str">
        <f>'DATA US'!C119</f>
        <v>0064822724</v>
      </c>
      <c r="F24" t="str">
        <f>'DATA US'!F119</f>
        <v>Bekasi</v>
      </c>
      <c r="G24" s="5" t="s">
        <v>643</v>
      </c>
      <c r="H24" t="str">
        <f>'DATA US'!D119</f>
        <v>RISKA AULIA ANASTASYA</v>
      </c>
      <c r="I24">
        <v>81</v>
      </c>
      <c r="J24">
        <v>79</v>
      </c>
      <c r="K24">
        <v>82</v>
      </c>
      <c r="L24">
        <v>84</v>
      </c>
      <c r="M24">
        <v>82</v>
      </c>
      <c r="N24">
        <v>83</v>
      </c>
      <c r="O24">
        <v>81</v>
      </c>
      <c r="P24">
        <v>83</v>
      </c>
      <c r="Q24">
        <v>80</v>
      </c>
      <c r="R24">
        <v>83</v>
      </c>
      <c r="S24">
        <v>81</v>
      </c>
      <c r="T24">
        <v>85</v>
      </c>
      <c r="U24">
        <v>78</v>
      </c>
      <c r="V24">
        <v>79</v>
      </c>
      <c r="W24">
        <v>85</v>
      </c>
      <c r="X24">
        <v>86</v>
      </c>
      <c r="Y24">
        <v>84</v>
      </c>
      <c r="Z24">
        <v>86</v>
      </c>
      <c r="AA24">
        <v>75</v>
      </c>
      <c r="AB24">
        <v>82</v>
      </c>
      <c r="AC24">
        <v>80</v>
      </c>
      <c r="AD24">
        <v>79</v>
      </c>
      <c r="AE24">
        <v>85</v>
      </c>
      <c r="AF24">
        <v>89</v>
      </c>
      <c r="AG24">
        <v>80</v>
      </c>
      <c r="AH24">
        <v>80</v>
      </c>
      <c r="AI24">
        <v>81</v>
      </c>
      <c r="AJ24">
        <v>84</v>
      </c>
      <c r="AK24">
        <v>85</v>
      </c>
      <c r="AL24">
        <v>80</v>
      </c>
      <c r="AM24">
        <v>83</v>
      </c>
      <c r="AN24">
        <v>85</v>
      </c>
      <c r="AR24">
        <v>81</v>
      </c>
      <c r="AS24">
        <v>80</v>
      </c>
      <c r="AT24">
        <v>80</v>
      </c>
      <c r="AU24">
        <v>81</v>
      </c>
      <c r="AV24">
        <v>84</v>
      </c>
      <c r="AW24">
        <v>82</v>
      </c>
      <c r="AZ24">
        <v>76</v>
      </c>
      <c r="BA24">
        <v>83</v>
      </c>
      <c r="BB24">
        <v>83</v>
      </c>
      <c r="BC24">
        <v>83</v>
      </c>
      <c r="BD24">
        <v>82</v>
      </c>
      <c r="BE24">
        <v>82</v>
      </c>
      <c r="BF24">
        <v>77</v>
      </c>
      <c r="BG24">
        <v>80</v>
      </c>
      <c r="BH24">
        <v>80</v>
      </c>
      <c r="BI24">
        <v>88</v>
      </c>
      <c r="BJ24">
        <v>79</v>
      </c>
      <c r="BK24">
        <v>84</v>
      </c>
      <c r="BL24">
        <v>81</v>
      </c>
      <c r="BM24">
        <v>84</v>
      </c>
      <c r="BN24">
        <v>82</v>
      </c>
      <c r="BO24">
        <v>82</v>
      </c>
      <c r="BP24">
        <v>84</v>
      </c>
      <c r="BQ24">
        <v>80</v>
      </c>
      <c r="BR24" s="13">
        <v>85</v>
      </c>
      <c r="BS24">
        <v>85</v>
      </c>
      <c r="BT24">
        <v>87</v>
      </c>
      <c r="BU24">
        <v>85</v>
      </c>
      <c r="BV24">
        <v>81</v>
      </c>
      <c r="BW24">
        <v>86</v>
      </c>
      <c r="BX24">
        <v>83</v>
      </c>
      <c r="BY24">
        <v>86</v>
      </c>
      <c r="BZ24">
        <v>85</v>
      </c>
      <c r="CA24">
        <v>86</v>
      </c>
      <c r="CB24">
        <v>80</v>
      </c>
      <c r="CC24">
        <v>82</v>
      </c>
      <c r="CD24">
        <v>86</v>
      </c>
      <c r="CE24">
        <v>86</v>
      </c>
      <c r="CF24">
        <v>81</v>
      </c>
      <c r="CG24">
        <v>85</v>
      </c>
      <c r="CH24" s="17" t="s">
        <v>1185</v>
      </c>
      <c r="CI24" s="17" t="s">
        <v>1186</v>
      </c>
      <c r="CJ24" s="17" t="s">
        <v>1187</v>
      </c>
      <c r="CK24" s="24" t="s">
        <v>996</v>
      </c>
      <c r="CL24" s="17" t="s">
        <v>1005</v>
      </c>
      <c r="CM24" s="17" t="s">
        <v>1077</v>
      </c>
      <c r="CN24" s="17" t="s">
        <v>1188</v>
      </c>
      <c r="CO24" s="298" t="s">
        <v>996</v>
      </c>
      <c r="CT24" s="31">
        <v>89</v>
      </c>
      <c r="CU24">
        <v>83.3333333333333</v>
      </c>
      <c r="CV24">
        <v>84</v>
      </c>
      <c r="CW24">
        <v>85</v>
      </c>
      <c r="CX24" s="13">
        <v>83.75</v>
      </c>
      <c r="CY24" s="13">
        <v>88.428571428571402</v>
      </c>
      <c r="CZ24" s="13">
        <f t="shared" si="0"/>
        <v>81.833333333333329</v>
      </c>
      <c r="DA24" s="13">
        <f t="shared" si="1"/>
        <v>82.166666666666671</v>
      </c>
      <c r="DB24" s="13">
        <f t="shared" si="2"/>
        <v>81.666666666666671</v>
      </c>
      <c r="DC24" s="13">
        <f t="shared" si="3"/>
        <v>83</v>
      </c>
      <c r="DD24" s="13">
        <f t="shared" si="4"/>
        <v>81.666666666666671</v>
      </c>
      <c r="DE24" s="13">
        <f t="shared" si="5"/>
        <v>80.5</v>
      </c>
      <c r="DF24" s="13">
        <f t="shared" si="6"/>
        <v>81.75</v>
      </c>
      <c r="DG24" s="13">
        <f t="shared" si="7"/>
        <v>83</v>
      </c>
      <c r="DH24" s="13">
        <f t="shared" si="8"/>
        <v>82</v>
      </c>
      <c r="DI24" s="13">
        <f t="shared" si="9"/>
        <v>83</v>
      </c>
      <c r="DJ24" s="13">
        <f t="shared" si="10"/>
        <v>79.5</v>
      </c>
      <c r="DK24" s="13">
        <f t="shared" si="11"/>
        <v>78.5</v>
      </c>
      <c r="DL24" s="13">
        <f t="shared" si="12"/>
        <v>81.5</v>
      </c>
      <c r="DM24" s="13">
        <f t="shared" si="13"/>
        <v>84</v>
      </c>
      <c r="DN24" s="13">
        <f t="shared" si="14"/>
        <v>82.5</v>
      </c>
      <c r="DO24" s="13">
        <f t="shared" si="15"/>
        <v>85.5</v>
      </c>
      <c r="DP24" s="13">
        <f t="shared" si="16"/>
        <v>82</v>
      </c>
      <c r="DQ24" s="13">
        <f t="shared" si="17"/>
        <v>83.5</v>
      </c>
      <c r="DR24" s="13">
        <f t="shared" si="18"/>
        <v>85.5</v>
      </c>
      <c r="DS24">
        <f t="shared" si="19"/>
        <v>84</v>
      </c>
      <c r="DT24">
        <f t="shared" si="20"/>
        <v>81.666666666666671</v>
      </c>
      <c r="DU24">
        <f t="shared" si="21"/>
        <v>84</v>
      </c>
      <c r="DV24" s="31">
        <f t="shared" si="22"/>
        <v>83.080782312925166</v>
      </c>
    </row>
    <row r="25" spans="1:126">
      <c r="A25">
        <v>24</v>
      </c>
      <c r="B25">
        <f>'DATA US'!B38</f>
        <v>222310023</v>
      </c>
      <c r="C25" t="str">
        <f>'DATA US'!C38</f>
        <v>0078400677</v>
      </c>
      <c r="D25">
        <f>'DATA US'!B120</f>
        <v>222310102</v>
      </c>
      <c r="E25" t="str">
        <f>'DATA US'!C120</f>
        <v>0078593346</v>
      </c>
      <c r="F25" t="str">
        <f>'DATA US'!F120</f>
        <v>Bekasi</v>
      </c>
      <c r="G25" s="5" t="s">
        <v>649</v>
      </c>
      <c r="H25" t="str">
        <f>'DATA US'!D120</f>
        <v>RISMA JULIYANTI</v>
      </c>
      <c r="I25">
        <v>80</v>
      </c>
      <c r="J25">
        <v>80</v>
      </c>
      <c r="K25">
        <v>85</v>
      </c>
      <c r="L25">
        <v>87</v>
      </c>
      <c r="M25">
        <v>84</v>
      </c>
      <c r="N25">
        <v>85</v>
      </c>
      <c r="O25">
        <v>81</v>
      </c>
      <c r="P25">
        <v>83</v>
      </c>
      <c r="Q25">
        <v>81</v>
      </c>
      <c r="R25">
        <v>82</v>
      </c>
      <c r="S25">
        <v>82</v>
      </c>
      <c r="T25">
        <v>85</v>
      </c>
      <c r="U25">
        <v>79</v>
      </c>
      <c r="V25">
        <v>79</v>
      </c>
      <c r="W25">
        <v>85</v>
      </c>
      <c r="X25">
        <v>88</v>
      </c>
      <c r="Y25">
        <v>86</v>
      </c>
      <c r="Z25">
        <v>88</v>
      </c>
      <c r="AA25">
        <v>75</v>
      </c>
      <c r="AB25">
        <v>77</v>
      </c>
      <c r="AC25">
        <v>79</v>
      </c>
      <c r="AD25">
        <v>78</v>
      </c>
      <c r="AE25">
        <v>87</v>
      </c>
      <c r="AF25">
        <v>88</v>
      </c>
      <c r="AG25">
        <v>77</v>
      </c>
      <c r="AH25">
        <v>77</v>
      </c>
      <c r="AI25">
        <v>84</v>
      </c>
      <c r="AJ25">
        <v>83</v>
      </c>
      <c r="AK25">
        <v>85</v>
      </c>
      <c r="AL25">
        <v>80</v>
      </c>
      <c r="AM25">
        <v>83</v>
      </c>
      <c r="AN25">
        <v>83</v>
      </c>
      <c r="AR25">
        <v>88</v>
      </c>
      <c r="AS25">
        <v>82</v>
      </c>
      <c r="AT25">
        <v>80</v>
      </c>
      <c r="AU25">
        <v>82</v>
      </c>
      <c r="AV25">
        <v>84</v>
      </c>
      <c r="AW25">
        <v>81</v>
      </c>
      <c r="AZ25">
        <v>78</v>
      </c>
      <c r="BA25">
        <v>80</v>
      </c>
      <c r="BB25">
        <v>81</v>
      </c>
      <c r="BC25">
        <v>83</v>
      </c>
      <c r="BD25">
        <v>82</v>
      </c>
      <c r="BE25">
        <v>82</v>
      </c>
      <c r="BF25">
        <v>77</v>
      </c>
      <c r="BG25">
        <v>85</v>
      </c>
      <c r="BH25">
        <v>92</v>
      </c>
      <c r="BI25">
        <v>89</v>
      </c>
      <c r="BJ25">
        <v>78</v>
      </c>
      <c r="BK25">
        <v>80</v>
      </c>
      <c r="BL25">
        <v>78</v>
      </c>
      <c r="BM25">
        <v>84</v>
      </c>
      <c r="BN25">
        <v>82</v>
      </c>
      <c r="BO25">
        <v>82</v>
      </c>
      <c r="BP25">
        <v>84</v>
      </c>
      <c r="BQ25">
        <v>80</v>
      </c>
      <c r="BR25" s="13">
        <v>87</v>
      </c>
      <c r="BS25">
        <v>84</v>
      </c>
      <c r="BT25">
        <v>89</v>
      </c>
      <c r="BU25">
        <v>89</v>
      </c>
      <c r="BV25">
        <v>84</v>
      </c>
      <c r="BW25">
        <v>86</v>
      </c>
      <c r="BX25">
        <v>83</v>
      </c>
      <c r="BY25">
        <v>91</v>
      </c>
      <c r="BZ25">
        <v>84</v>
      </c>
      <c r="CA25">
        <v>86</v>
      </c>
      <c r="CB25">
        <v>80</v>
      </c>
      <c r="CC25">
        <v>81</v>
      </c>
      <c r="CD25">
        <v>87</v>
      </c>
      <c r="CE25">
        <v>87</v>
      </c>
      <c r="CF25">
        <v>81</v>
      </c>
      <c r="CG25">
        <v>84</v>
      </c>
      <c r="CH25" s="17" t="s">
        <v>1161</v>
      </c>
      <c r="CI25" s="17" t="s">
        <v>1162</v>
      </c>
      <c r="CJ25" s="17" t="s">
        <v>1189</v>
      </c>
      <c r="CK25" s="17" t="s">
        <v>996</v>
      </c>
      <c r="CL25" s="19"/>
      <c r="CM25" s="19"/>
      <c r="CN25" s="19"/>
      <c r="CO25" s="32"/>
      <c r="CP25" s="32"/>
      <c r="CQ25" s="32"/>
      <c r="CR25" s="32"/>
      <c r="CS25" s="32"/>
      <c r="CT25" s="31">
        <v>89</v>
      </c>
      <c r="CU25">
        <v>84</v>
      </c>
      <c r="CV25">
        <v>81</v>
      </c>
      <c r="CW25">
        <v>86</v>
      </c>
      <c r="CX25" s="13">
        <v>83.25</v>
      </c>
      <c r="CY25" s="13">
        <v>88.857142857142904</v>
      </c>
      <c r="CZ25" s="13">
        <f t="shared" si="0"/>
        <v>83.5</v>
      </c>
      <c r="DA25" s="13">
        <f t="shared" si="1"/>
        <v>82.333333333333329</v>
      </c>
      <c r="DB25" s="13">
        <f t="shared" si="2"/>
        <v>80.666666666666671</v>
      </c>
      <c r="DC25" s="13">
        <f t="shared" si="3"/>
        <v>84.166666666666671</v>
      </c>
      <c r="DD25" s="13">
        <f t="shared" si="4"/>
        <v>81</v>
      </c>
      <c r="DE25" s="13">
        <f t="shared" si="5"/>
        <v>85</v>
      </c>
      <c r="DF25" s="13">
        <f t="shared" si="6"/>
        <v>81.75</v>
      </c>
      <c r="DG25" s="13">
        <f t="shared" si="7"/>
        <v>82.5</v>
      </c>
      <c r="DH25" s="13">
        <f t="shared" si="8"/>
        <v>82</v>
      </c>
      <c r="DI25" s="13">
        <f t="shared" si="9"/>
        <v>82</v>
      </c>
      <c r="DJ25" s="13">
        <f t="shared" si="10"/>
        <v>79</v>
      </c>
      <c r="DK25" s="13">
        <f t="shared" si="11"/>
        <v>81</v>
      </c>
      <c r="DL25" s="13">
        <f t="shared" si="12"/>
        <v>79</v>
      </c>
      <c r="DM25" s="13">
        <f t="shared" si="13"/>
        <v>90.5</v>
      </c>
      <c r="DN25" s="13">
        <f t="shared" si="14"/>
        <v>81</v>
      </c>
      <c r="DO25" s="13">
        <f t="shared" si="15"/>
        <v>87.25</v>
      </c>
      <c r="DP25" s="13">
        <f t="shared" si="16"/>
        <v>82</v>
      </c>
      <c r="DQ25" s="13">
        <f t="shared" si="17"/>
        <v>83.75</v>
      </c>
      <c r="DR25" s="13">
        <f t="shared" si="18"/>
        <v>85</v>
      </c>
      <c r="DS25">
        <f t="shared" si="19"/>
        <v>86</v>
      </c>
      <c r="DT25">
        <f t="shared" si="20"/>
        <v>80.666666666666671</v>
      </c>
      <c r="DU25">
        <f t="shared" si="21"/>
        <v>83</v>
      </c>
      <c r="DV25" s="31">
        <f t="shared" si="22"/>
        <v>83.399659863945573</v>
      </c>
    </row>
    <row r="26" spans="1:126">
      <c r="A26">
        <v>25</v>
      </c>
      <c r="B26">
        <f>'DATA US'!B39</f>
        <v>222310147</v>
      </c>
      <c r="C26" t="str">
        <f>'DATA US'!C39</f>
        <v>0061172472</v>
      </c>
      <c r="D26">
        <f>'DATA US'!B121</f>
        <v>222310103</v>
      </c>
      <c r="E26" t="str">
        <f>'DATA US'!C121</f>
        <v>0078558399</v>
      </c>
      <c r="F26" t="str">
        <f>'DATA US'!F121</f>
        <v>Bekasi</v>
      </c>
      <c r="G26" s="5">
        <v>39406</v>
      </c>
      <c r="H26" t="str">
        <f>'DATA US'!D121</f>
        <v>SIGIT ARDI NUGROHO</v>
      </c>
      <c r="I26">
        <v>79</v>
      </c>
      <c r="J26">
        <v>78</v>
      </c>
      <c r="K26">
        <v>85</v>
      </c>
      <c r="L26">
        <v>85</v>
      </c>
      <c r="M26">
        <v>83</v>
      </c>
      <c r="N26">
        <v>83</v>
      </c>
      <c r="O26">
        <v>81</v>
      </c>
      <c r="P26">
        <v>81</v>
      </c>
      <c r="Q26">
        <v>81</v>
      </c>
      <c r="R26">
        <v>81</v>
      </c>
      <c r="S26">
        <v>81</v>
      </c>
      <c r="T26">
        <v>84</v>
      </c>
      <c r="U26">
        <v>78</v>
      </c>
      <c r="V26">
        <v>79</v>
      </c>
      <c r="W26">
        <v>86</v>
      </c>
      <c r="X26">
        <v>90</v>
      </c>
      <c r="Y26">
        <v>85</v>
      </c>
      <c r="Z26">
        <v>86</v>
      </c>
      <c r="AA26">
        <v>75</v>
      </c>
      <c r="AB26">
        <v>78</v>
      </c>
      <c r="AC26">
        <v>86</v>
      </c>
      <c r="AD26">
        <v>87</v>
      </c>
      <c r="AE26">
        <v>85</v>
      </c>
      <c r="AF26">
        <v>86</v>
      </c>
      <c r="AG26">
        <v>78</v>
      </c>
      <c r="AH26">
        <v>78</v>
      </c>
      <c r="AI26">
        <v>83</v>
      </c>
      <c r="AJ26">
        <v>83</v>
      </c>
      <c r="AK26">
        <v>83</v>
      </c>
      <c r="AL26">
        <v>84</v>
      </c>
      <c r="AM26">
        <v>82</v>
      </c>
      <c r="AN26">
        <v>84</v>
      </c>
      <c r="AR26">
        <v>87</v>
      </c>
      <c r="AS26">
        <v>81</v>
      </c>
      <c r="AT26">
        <v>80</v>
      </c>
      <c r="AU26">
        <v>82</v>
      </c>
      <c r="AV26">
        <v>85</v>
      </c>
      <c r="AW26">
        <v>84</v>
      </c>
      <c r="AZ26">
        <v>76</v>
      </c>
      <c r="BA26">
        <v>82</v>
      </c>
      <c r="BB26">
        <v>82</v>
      </c>
      <c r="BC26">
        <v>83</v>
      </c>
      <c r="BD26">
        <v>82</v>
      </c>
      <c r="BE26">
        <v>84</v>
      </c>
      <c r="BF26">
        <v>76</v>
      </c>
      <c r="BG26">
        <v>82</v>
      </c>
      <c r="BH26">
        <v>83</v>
      </c>
      <c r="BI26">
        <v>83</v>
      </c>
      <c r="BJ26">
        <v>78</v>
      </c>
      <c r="BK26">
        <v>80</v>
      </c>
      <c r="BL26">
        <v>80</v>
      </c>
      <c r="BM26">
        <v>84</v>
      </c>
      <c r="BN26">
        <v>80</v>
      </c>
      <c r="BO26">
        <v>81</v>
      </c>
      <c r="BP26">
        <v>84</v>
      </c>
      <c r="BQ26">
        <v>84</v>
      </c>
      <c r="BR26" s="13">
        <v>84</v>
      </c>
      <c r="BS26">
        <v>83</v>
      </c>
      <c r="BT26">
        <v>88</v>
      </c>
      <c r="BU26">
        <v>86</v>
      </c>
      <c r="BV26">
        <v>80</v>
      </c>
      <c r="BW26">
        <v>87</v>
      </c>
      <c r="BX26">
        <v>84</v>
      </c>
      <c r="BY26">
        <v>88</v>
      </c>
      <c r="BZ26">
        <v>84</v>
      </c>
      <c r="CA26">
        <v>86</v>
      </c>
      <c r="CB26">
        <v>81</v>
      </c>
      <c r="CC26">
        <v>82</v>
      </c>
      <c r="CD26">
        <v>88</v>
      </c>
      <c r="CE26">
        <v>89</v>
      </c>
      <c r="CF26">
        <v>81</v>
      </c>
      <c r="CG26">
        <v>82</v>
      </c>
      <c r="CH26" s="17" t="s">
        <v>993</v>
      </c>
      <c r="CI26" s="17" t="s">
        <v>994</v>
      </c>
      <c r="CJ26" s="17" t="s">
        <v>1190</v>
      </c>
      <c r="CK26" s="17" t="s">
        <v>996</v>
      </c>
      <c r="CT26" s="31">
        <v>89</v>
      </c>
      <c r="CU26">
        <v>83</v>
      </c>
      <c r="CV26">
        <v>81</v>
      </c>
      <c r="CW26">
        <v>90</v>
      </c>
      <c r="CX26" s="13">
        <v>83.75</v>
      </c>
      <c r="CY26" s="13">
        <v>87.857142857142904</v>
      </c>
      <c r="CZ26" s="13">
        <f t="shared" si="0"/>
        <v>82.166666666666671</v>
      </c>
      <c r="DA26" s="13">
        <f t="shared" si="1"/>
        <v>81.5</v>
      </c>
      <c r="DB26" s="13">
        <f t="shared" si="2"/>
        <v>82.833333333333329</v>
      </c>
      <c r="DC26" s="13">
        <f t="shared" si="3"/>
        <v>84</v>
      </c>
      <c r="DD26" s="13">
        <f t="shared" si="4"/>
        <v>81.5</v>
      </c>
      <c r="DE26" s="13">
        <f t="shared" si="5"/>
        <v>84</v>
      </c>
      <c r="DF26" s="13">
        <f t="shared" si="6"/>
        <v>82.75</v>
      </c>
      <c r="DG26" s="13">
        <f t="shared" si="7"/>
        <v>81.5</v>
      </c>
      <c r="DH26" s="13">
        <f t="shared" si="8"/>
        <v>83</v>
      </c>
      <c r="DI26" s="13">
        <f t="shared" si="9"/>
        <v>82.5</v>
      </c>
      <c r="DJ26" s="13">
        <f t="shared" si="10"/>
        <v>79</v>
      </c>
      <c r="DK26" s="13">
        <f t="shared" si="11"/>
        <v>79</v>
      </c>
      <c r="DL26" s="13">
        <f t="shared" si="12"/>
        <v>79</v>
      </c>
      <c r="DM26" s="13">
        <f t="shared" si="13"/>
        <v>83</v>
      </c>
      <c r="DN26" s="13">
        <f t="shared" si="14"/>
        <v>82</v>
      </c>
      <c r="DO26" s="13">
        <f t="shared" si="15"/>
        <v>85.25</v>
      </c>
      <c r="DP26" s="13">
        <f t="shared" si="16"/>
        <v>82.25</v>
      </c>
      <c r="DQ26" s="13">
        <f t="shared" si="17"/>
        <v>85</v>
      </c>
      <c r="DR26" s="13">
        <f t="shared" si="18"/>
        <v>85</v>
      </c>
      <c r="DS26">
        <f t="shared" si="19"/>
        <v>84.75</v>
      </c>
      <c r="DT26">
        <f t="shared" si="20"/>
        <v>82.833333333333329</v>
      </c>
      <c r="DU26">
        <f t="shared" si="21"/>
        <v>83</v>
      </c>
      <c r="DV26" s="31">
        <f t="shared" si="22"/>
        <v>83.23001700680274</v>
      </c>
    </row>
    <row r="27" spans="1:126">
      <c r="A27">
        <v>26</v>
      </c>
      <c r="B27">
        <f>'DATA US'!B40</f>
        <v>222310024</v>
      </c>
      <c r="C27" t="str">
        <f>'DATA US'!C40</f>
        <v>0071750896</v>
      </c>
      <c r="D27">
        <f>'DATA US'!B122</f>
        <v>222310104</v>
      </c>
      <c r="E27" t="str">
        <f>'DATA US'!C122</f>
        <v>00724077907</v>
      </c>
      <c r="F27" t="str">
        <f>'DATA US'!F122</f>
        <v>Brebes</v>
      </c>
      <c r="G27" s="5" t="s">
        <v>661</v>
      </c>
      <c r="H27" t="str">
        <f>'DATA US'!D122</f>
        <v>SITI JUMALA SARI</v>
      </c>
      <c r="I27">
        <v>85</v>
      </c>
      <c r="J27">
        <v>87</v>
      </c>
      <c r="K27">
        <v>91</v>
      </c>
      <c r="L27">
        <v>91</v>
      </c>
      <c r="M27">
        <v>85</v>
      </c>
      <c r="N27">
        <v>87</v>
      </c>
      <c r="O27">
        <v>86</v>
      </c>
      <c r="P27">
        <v>88</v>
      </c>
      <c r="Q27">
        <v>87</v>
      </c>
      <c r="R27">
        <v>86</v>
      </c>
      <c r="S27">
        <v>85</v>
      </c>
      <c r="T27">
        <v>88</v>
      </c>
      <c r="U27">
        <v>83</v>
      </c>
      <c r="V27">
        <v>79</v>
      </c>
      <c r="W27">
        <v>95</v>
      </c>
      <c r="X27">
        <v>94</v>
      </c>
      <c r="Y27">
        <v>93</v>
      </c>
      <c r="Z27">
        <v>93</v>
      </c>
      <c r="AA27">
        <v>88</v>
      </c>
      <c r="AB27">
        <v>76</v>
      </c>
      <c r="AC27">
        <v>80</v>
      </c>
      <c r="AD27">
        <v>80</v>
      </c>
      <c r="AE27">
        <v>89</v>
      </c>
      <c r="AF27">
        <v>93</v>
      </c>
      <c r="AG27">
        <v>86</v>
      </c>
      <c r="AH27">
        <v>76</v>
      </c>
      <c r="AI27">
        <v>87</v>
      </c>
      <c r="AJ27">
        <v>93</v>
      </c>
      <c r="AK27">
        <v>92</v>
      </c>
      <c r="AL27">
        <v>85</v>
      </c>
      <c r="AM27">
        <v>88</v>
      </c>
      <c r="AN27">
        <v>85</v>
      </c>
      <c r="AR27">
        <v>85</v>
      </c>
      <c r="AS27">
        <v>86</v>
      </c>
      <c r="AT27">
        <v>80</v>
      </c>
      <c r="AU27">
        <v>82</v>
      </c>
      <c r="AV27">
        <v>85</v>
      </c>
      <c r="AW27">
        <v>83</v>
      </c>
      <c r="AZ27">
        <v>81</v>
      </c>
      <c r="BA27">
        <v>90</v>
      </c>
      <c r="BB27">
        <v>87</v>
      </c>
      <c r="BC27">
        <v>87</v>
      </c>
      <c r="BD27">
        <v>87</v>
      </c>
      <c r="BE27">
        <v>85</v>
      </c>
      <c r="BF27">
        <v>77</v>
      </c>
      <c r="BG27">
        <v>85</v>
      </c>
      <c r="BH27">
        <v>97</v>
      </c>
      <c r="BI27">
        <v>93</v>
      </c>
      <c r="BJ27">
        <v>82</v>
      </c>
      <c r="BK27">
        <v>85</v>
      </c>
      <c r="BL27">
        <v>86</v>
      </c>
      <c r="BM27">
        <v>89</v>
      </c>
      <c r="BN27">
        <v>87</v>
      </c>
      <c r="BO27">
        <v>87</v>
      </c>
      <c r="BP27">
        <v>86</v>
      </c>
      <c r="BQ27">
        <v>85</v>
      </c>
      <c r="BR27" s="13">
        <v>93</v>
      </c>
      <c r="BS27">
        <v>91</v>
      </c>
      <c r="BT27">
        <v>92</v>
      </c>
      <c r="BU27">
        <v>92</v>
      </c>
      <c r="BV27">
        <v>88</v>
      </c>
      <c r="BW27">
        <v>86</v>
      </c>
      <c r="BX27">
        <v>87</v>
      </c>
      <c r="BY27">
        <v>92</v>
      </c>
      <c r="BZ27">
        <v>87</v>
      </c>
      <c r="CA27">
        <v>90</v>
      </c>
      <c r="CB27">
        <v>80</v>
      </c>
      <c r="CC27">
        <v>87</v>
      </c>
      <c r="CD27">
        <v>87</v>
      </c>
      <c r="CE27">
        <v>87</v>
      </c>
      <c r="CF27">
        <v>85</v>
      </c>
      <c r="CG27">
        <v>88</v>
      </c>
      <c r="CH27" s="17" t="s">
        <v>1147</v>
      </c>
      <c r="CI27" s="17" t="s">
        <v>1148</v>
      </c>
      <c r="CJ27" s="17" t="s">
        <v>1149</v>
      </c>
      <c r="CK27" s="299" t="s">
        <v>1000</v>
      </c>
      <c r="CL27" s="17" t="s">
        <v>1098</v>
      </c>
      <c r="CM27" s="19" t="s">
        <v>1099</v>
      </c>
      <c r="CN27" s="17" t="s">
        <v>1191</v>
      </c>
      <c r="CO27" s="299" t="s">
        <v>1000</v>
      </c>
      <c r="CP27" s="28"/>
      <c r="CT27" s="31">
        <v>92</v>
      </c>
      <c r="CU27">
        <v>88.3333333333333</v>
      </c>
      <c r="CV27">
        <v>98</v>
      </c>
      <c r="CW27">
        <v>86</v>
      </c>
      <c r="CX27" s="13">
        <v>84.75</v>
      </c>
      <c r="CY27" s="13">
        <v>90.571428571428598</v>
      </c>
      <c r="CZ27" s="13">
        <f t="shared" si="0"/>
        <v>87.666666666666671</v>
      </c>
      <c r="DA27" s="13">
        <f t="shared" si="1"/>
        <v>86.666666666666671</v>
      </c>
      <c r="DB27" s="13">
        <f t="shared" si="2"/>
        <v>84.333333333333329</v>
      </c>
      <c r="DC27" s="13">
        <f t="shared" si="3"/>
        <v>89.5</v>
      </c>
      <c r="DD27" s="13">
        <f t="shared" si="4"/>
        <v>86.5</v>
      </c>
      <c r="DE27" s="13">
        <f t="shared" si="5"/>
        <v>85.5</v>
      </c>
      <c r="DF27" s="13">
        <f t="shared" si="6"/>
        <v>82.5</v>
      </c>
      <c r="DG27" s="13">
        <f t="shared" si="7"/>
        <v>86.5</v>
      </c>
      <c r="DH27" s="13">
        <f t="shared" si="8"/>
        <v>86</v>
      </c>
      <c r="DI27" s="13">
        <f t="shared" si="9"/>
        <v>87</v>
      </c>
      <c r="DJ27" s="13">
        <f t="shared" si="10"/>
        <v>85.5</v>
      </c>
      <c r="DK27" s="13">
        <f t="shared" si="11"/>
        <v>81</v>
      </c>
      <c r="DL27" s="13">
        <f t="shared" si="12"/>
        <v>83.5</v>
      </c>
      <c r="DM27" s="13">
        <f t="shared" si="13"/>
        <v>95</v>
      </c>
      <c r="DN27" s="13">
        <f t="shared" si="14"/>
        <v>87.5</v>
      </c>
      <c r="DO27" s="13">
        <f t="shared" si="15"/>
        <v>92</v>
      </c>
      <c r="DP27" s="13">
        <f t="shared" si="16"/>
        <v>86.25</v>
      </c>
      <c r="DQ27" s="13">
        <f t="shared" si="17"/>
        <v>85.25</v>
      </c>
      <c r="DR27" s="13">
        <f t="shared" si="18"/>
        <v>88.5</v>
      </c>
      <c r="DS27">
        <f t="shared" si="19"/>
        <v>88.25</v>
      </c>
      <c r="DT27">
        <f t="shared" si="20"/>
        <v>84.333333333333329</v>
      </c>
      <c r="DU27">
        <f t="shared" si="21"/>
        <v>86.5</v>
      </c>
      <c r="DV27" s="31">
        <f t="shared" si="22"/>
        <v>87.335884353741491</v>
      </c>
    </row>
    <row r="28" spans="1:126">
      <c r="A28">
        <v>27</v>
      </c>
      <c r="B28">
        <f>'DATA US'!B41</f>
        <v>222310025</v>
      </c>
      <c r="C28" t="str">
        <f>'DATA US'!C41</f>
        <v>0064628744</v>
      </c>
      <c r="D28">
        <f>'DATA US'!B123</f>
        <v>222310105</v>
      </c>
      <c r="E28" t="str">
        <f>'DATA US'!C123</f>
        <v>0073412174</v>
      </c>
      <c r="F28" t="str">
        <f>'DATA US'!F123</f>
        <v>Bekasi</v>
      </c>
      <c r="G28" s="5" t="s">
        <v>667</v>
      </c>
      <c r="H28" t="str">
        <f>'DATA US'!D123</f>
        <v>SITI NURPADILAH</v>
      </c>
      <c r="I28">
        <v>80</v>
      </c>
      <c r="J28">
        <v>80</v>
      </c>
      <c r="K28">
        <v>84</v>
      </c>
      <c r="L28">
        <v>87</v>
      </c>
      <c r="M28">
        <v>83</v>
      </c>
      <c r="N28">
        <v>85</v>
      </c>
      <c r="O28">
        <v>82</v>
      </c>
      <c r="P28">
        <v>83</v>
      </c>
      <c r="Q28">
        <v>82</v>
      </c>
      <c r="R28">
        <v>85</v>
      </c>
      <c r="S28">
        <v>84</v>
      </c>
      <c r="T28">
        <v>86</v>
      </c>
      <c r="U28">
        <v>78</v>
      </c>
      <c r="V28">
        <v>88</v>
      </c>
      <c r="W28">
        <v>84</v>
      </c>
      <c r="X28">
        <v>86</v>
      </c>
      <c r="Y28">
        <v>83</v>
      </c>
      <c r="Z28">
        <v>88</v>
      </c>
      <c r="AA28">
        <v>75</v>
      </c>
      <c r="AB28">
        <v>90</v>
      </c>
      <c r="AC28">
        <v>82</v>
      </c>
      <c r="AD28">
        <v>78</v>
      </c>
      <c r="AE28">
        <v>85</v>
      </c>
      <c r="AF28">
        <v>87</v>
      </c>
      <c r="AG28">
        <v>79</v>
      </c>
      <c r="AH28">
        <v>85</v>
      </c>
      <c r="AI28">
        <v>84</v>
      </c>
      <c r="AJ28">
        <v>84</v>
      </c>
      <c r="AK28">
        <v>85</v>
      </c>
      <c r="AL28">
        <v>82</v>
      </c>
      <c r="AM28">
        <v>85</v>
      </c>
      <c r="AN28">
        <v>88</v>
      </c>
      <c r="AR28">
        <v>81</v>
      </c>
      <c r="AS28">
        <v>80</v>
      </c>
      <c r="AT28">
        <v>82</v>
      </c>
      <c r="AU28">
        <v>82</v>
      </c>
      <c r="AV28">
        <v>84</v>
      </c>
      <c r="AW28">
        <v>82</v>
      </c>
      <c r="AZ28">
        <v>77</v>
      </c>
      <c r="BA28">
        <v>83</v>
      </c>
      <c r="BB28">
        <v>83</v>
      </c>
      <c r="BC28">
        <v>84</v>
      </c>
      <c r="BD28">
        <v>82</v>
      </c>
      <c r="BE28">
        <v>82</v>
      </c>
      <c r="BF28">
        <v>77</v>
      </c>
      <c r="BG28">
        <v>84</v>
      </c>
      <c r="BH28">
        <v>81</v>
      </c>
      <c r="BI28">
        <v>88</v>
      </c>
      <c r="BJ28">
        <v>78</v>
      </c>
      <c r="BK28">
        <v>83</v>
      </c>
      <c r="BL28">
        <v>81</v>
      </c>
      <c r="BM28">
        <v>84</v>
      </c>
      <c r="BN28">
        <v>83</v>
      </c>
      <c r="BO28">
        <v>83</v>
      </c>
      <c r="BP28">
        <v>84</v>
      </c>
      <c r="BQ28">
        <v>82</v>
      </c>
      <c r="BR28" s="13">
        <v>88</v>
      </c>
      <c r="BS28">
        <v>85</v>
      </c>
      <c r="BT28">
        <v>88</v>
      </c>
      <c r="BU28">
        <v>88</v>
      </c>
      <c r="BV28">
        <v>81</v>
      </c>
      <c r="BW28">
        <v>84</v>
      </c>
      <c r="BX28">
        <v>83</v>
      </c>
      <c r="BY28">
        <v>88</v>
      </c>
      <c r="BZ28">
        <v>84</v>
      </c>
      <c r="CA28">
        <v>86</v>
      </c>
      <c r="CB28">
        <v>80</v>
      </c>
      <c r="CC28">
        <v>83</v>
      </c>
      <c r="CD28">
        <v>87</v>
      </c>
      <c r="CE28">
        <v>87</v>
      </c>
      <c r="CF28">
        <v>84</v>
      </c>
      <c r="CG28">
        <v>84</v>
      </c>
      <c r="CH28" s="17" t="s">
        <v>1144</v>
      </c>
      <c r="CI28" s="17" t="s">
        <v>1145</v>
      </c>
      <c r="CJ28" s="17" t="s">
        <v>1146</v>
      </c>
      <c r="CK28" s="26" t="s">
        <v>996</v>
      </c>
      <c r="CL28" s="17" t="s">
        <v>1005</v>
      </c>
      <c r="CM28" s="17" t="s">
        <v>1077</v>
      </c>
      <c r="CN28" s="17" t="s">
        <v>1188</v>
      </c>
      <c r="CO28" s="26" t="s">
        <v>996</v>
      </c>
      <c r="CT28" s="31">
        <v>91</v>
      </c>
      <c r="CU28">
        <v>85</v>
      </c>
      <c r="CV28">
        <v>84</v>
      </c>
      <c r="CW28">
        <v>84</v>
      </c>
      <c r="CX28" s="13">
        <v>83</v>
      </c>
      <c r="CY28" s="13">
        <v>88.571428571428598</v>
      </c>
      <c r="CZ28" s="13">
        <f t="shared" si="0"/>
        <v>83.166666666666671</v>
      </c>
      <c r="DA28" s="13">
        <f t="shared" si="1"/>
        <v>83.666666666666671</v>
      </c>
      <c r="DB28" s="13">
        <f t="shared" si="2"/>
        <v>82.833333333333329</v>
      </c>
      <c r="DC28" s="13">
        <f t="shared" si="3"/>
        <v>84.5</v>
      </c>
      <c r="DD28" s="13">
        <f t="shared" si="4"/>
        <v>83.166666666666671</v>
      </c>
      <c r="DE28" s="13">
        <f t="shared" si="5"/>
        <v>80.5</v>
      </c>
      <c r="DF28" s="13">
        <f t="shared" si="6"/>
        <v>82.5</v>
      </c>
      <c r="DG28" s="13">
        <f t="shared" si="7"/>
        <v>84</v>
      </c>
      <c r="DH28" s="13">
        <f t="shared" si="8"/>
        <v>82</v>
      </c>
      <c r="DI28" s="13">
        <f t="shared" si="9"/>
        <v>83.5</v>
      </c>
      <c r="DJ28" s="13">
        <f t="shared" si="10"/>
        <v>80</v>
      </c>
      <c r="DK28" s="13">
        <f t="shared" si="11"/>
        <v>80.5</v>
      </c>
      <c r="DL28" s="13">
        <f t="shared" si="12"/>
        <v>80.5</v>
      </c>
      <c r="DM28" s="13">
        <f t="shared" si="13"/>
        <v>84.5</v>
      </c>
      <c r="DN28" s="13">
        <f t="shared" si="14"/>
        <v>82.5</v>
      </c>
      <c r="DO28" s="13">
        <f t="shared" si="15"/>
        <v>87.25</v>
      </c>
      <c r="DP28" s="13">
        <f t="shared" si="16"/>
        <v>83</v>
      </c>
      <c r="DQ28" s="13">
        <f t="shared" si="17"/>
        <v>84.25</v>
      </c>
      <c r="DR28" s="13">
        <f t="shared" si="18"/>
        <v>85</v>
      </c>
      <c r="DS28">
        <f t="shared" si="19"/>
        <v>84</v>
      </c>
      <c r="DT28">
        <f t="shared" si="20"/>
        <v>82.833333333333329</v>
      </c>
      <c r="DU28">
        <f t="shared" si="21"/>
        <v>86.5</v>
      </c>
      <c r="DV28" s="31">
        <f t="shared" si="22"/>
        <v>83.794217687074834</v>
      </c>
    </row>
    <row r="29" spans="1:126">
      <c r="A29">
        <v>28</v>
      </c>
      <c r="B29">
        <f>'DATA US'!B42</f>
        <v>222310026</v>
      </c>
      <c r="C29" t="str">
        <f>'DATA US'!C42</f>
        <v>0071829562</v>
      </c>
      <c r="D29">
        <f>'DATA US'!B124</f>
        <v>222310106</v>
      </c>
      <c r="E29" t="str">
        <f>'DATA US'!C124</f>
        <v>0079544913</v>
      </c>
      <c r="F29" t="str">
        <f>'DATA US'!F124</f>
        <v>Bekasi</v>
      </c>
      <c r="G29" s="5" t="s">
        <v>672</v>
      </c>
      <c r="H29" t="str">
        <f>'DATA US'!D124</f>
        <v>SRI MUTIARA</v>
      </c>
      <c r="I29">
        <v>80</v>
      </c>
      <c r="J29">
        <v>80</v>
      </c>
      <c r="K29">
        <v>85</v>
      </c>
      <c r="L29">
        <v>87</v>
      </c>
      <c r="M29">
        <v>83</v>
      </c>
      <c r="N29">
        <v>83</v>
      </c>
      <c r="O29">
        <v>83</v>
      </c>
      <c r="P29">
        <v>83</v>
      </c>
      <c r="Q29">
        <v>81</v>
      </c>
      <c r="R29">
        <v>83</v>
      </c>
      <c r="S29">
        <v>83</v>
      </c>
      <c r="T29">
        <v>85</v>
      </c>
      <c r="U29">
        <v>78</v>
      </c>
      <c r="V29">
        <v>79</v>
      </c>
      <c r="W29">
        <v>88</v>
      </c>
      <c r="X29">
        <v>90</v>
      </c>
      <c r="Y29">
        <v>86</v>
      </c>
      <c r="Z29">
        <v>88</v>
      </c>
      <c r="AA29">
        <v>75</v>
      </c>
      <c r="AB29">
        <v>76</v>
      </c>
      <c r="AC29">
        <v>81</v>
      </c>
      <c r="AD29">
        <v>80</v>
      </c>
      <c r="AE29">
        <v>87</v>
      </c>
      <c r="AF29">
        <v>88</v>
      </c>
      <c r="AG29">
        <v>79</v>
      </c>
      <c r="AH29">
        <v>79</v>
      </c>
      <c r="AI29">
        <v>84</v>
      </c>
      <c r="AJ29">
        <v>84</v>
      </c>
      <c r="AK29">
        <v>87</v>
      </c>
      <c r="AL29">
        <v>82</v>
      </c>
      <c r="AM29">
        <v>85</v>
      </c>
      <c r="AN29">
        <v>86</v>
      </c>
      <c r="AR29">
        <v>81</v>
      </c>
      <c r="AS29">
        <v>80</v>
      </c>
      <c r="AT29">
        <v>80</v>
      </c>
      <c r="AU29">
        <v>81</v>
      </c>
      <c r="AV29">
        <v>84</v>
      </c>
      <c r="AW29">
        <v>82</v>
      </c>
      <c r="AZ29">
        <v>76</v>
      </c>
      <c r="BA29">
        <v>84</v>
      </c>
      <c r="BB29">
        <v>83</v>
      </c>
      <c r="BC29">
        <v>83</v>
      </c>
      <c r="BD29">
        <v>82</v>
      </c>
      <c r="BE29">
        <v>83</v>
      </c>
      <c r="BF29">
        <v>76</v>
      </c>
      <c r="BG29">
        <v>77</v>
      </c>
      <c r="BH29">
        <v>89</v>
      </c>
      <c r="BI29">
        <v>88</v>
      </c>
      <c r="BJ29">
        <v>79</v>
      </c>
      <c r="BK29">
        <v>81</v>
      </c>
      <c r="BL29">
        <v>80</v>
      </c>
      <c r="BM29">
        <v>85</v>
      </c>
      <c r="BN29">
        <v>83</v>
      </c>
      <c r="BO29">
        <v>83</v>
      </c>
      <c r="BP29">
        <v>84</v>
      </c>
      <c r="BQ29">
        <v>82</v>
      </c>
      <c r="BR29" s="13">
        <v>86</v>
      </c>
      <c r="BS29">
        <v>87</v>
      </c>
      <c r="BT29">
        <v>88</v>
      </c>
      <c r="BU29">
        <v>88</v>
      </c>
      <c r="BV29">
        <v>82</v>
      </c>
      <c r="BW29">
        <v>84</v>
      </c>
      <c r="BX29">
        <v>84</v>
      </c>
      <c r="BY29">
        <v>89</v>
      </c>
      <c r="BZ29">
        <v>84</v>
      </c>
      <c r="CA29">
        <v>86</v>
      </c>
      <c r="CB29">
        <v>80</v>
      </c>
      <c r="CC29">
        <v>82</v>
      </c>
      <c r="CD29">
        <v>87</v>
      </c>
      <c r="CE29">
        <v>87</v>
      </c>
      <c r="CF29">
        <v>83</v>
      </c>
      <c r="CG29">
        <v>84</v>
      </c>
      <c r="CH29" s="17" t="s">
        <v>1192</v>
      </c>
      <c r="CI29" s="17" t="s">
        <v>1193</v>
      </c>
      <c r="CJ29" s="17" t="s">
        <v>1194</v>
      </c>
      <c r="CK29" s="25" t="s">
        <v>996</v>
      </c>
      <c r="CL29" s="17" t="s">
        <v>1005</v>
      </c>
      <c r="CM29" s="17" t="s">
        <v>1077</v>
      </c>
      <c r="CN29" s="17" t="s">
        <v>1188</v>
      </c>
      <c r="CO29" s="25" t="s">
        <v>996</v>
      </c>
      <c r="CP29" s="32"/>
      <c r="CQ29" s="32"/>
      <c r="CR29" s="32"/>
      <c r="CS29" s="32"/>
      <c r="CT29" s="31">
        <v>90.6666666666667</v>
      </c>
      <c r="CU29">
        <v>84.3333333333333</v>
      </c>
      <c r="CV29">
        <v>81</v>
      </c>
      <c r="CW29">
        <v>86</v>
      </c>
      <c r="CX29" s="13">
        <v>83</v>
      </c>
      <c r="CY29" s="13">
        <v>88.571428571428598</v>
      </c>
      <c r="CZ29" s="13">
        <f t="shared" si="0"/>
        <v>83</v>
      </c>
      <c r="DA29" s="13">
        <f t="shared" si="1"/>
        <v>83</v>
      </c>
      <c r="DB29" s="13">
        <f t="shared" si="2"/>
        <v>81.166666666666671</v>
      </c>
      <c r="DC29" s="13">
        <f t="shared" si="3"/>
        <v>84.833333333333329</v>
      </c>
      <c r="DD29" s="13">
        <f t="shared" si="4"/>
        <v>82.5</v>
      </c>
      <c r="DE29" s="13">
        <f t="shared" si="5"/>
        <v>80.5</v>
      </c>
      <c r="DF29" s="13">
        <f t="shared" si="6"/>
        <v>81.75</v>
      </c>
      <c r="DG29" s="13">
        <f t="shared" si="7"/>
        <v>83.5</v>
      </c>
      <c r="DH29" s="13">
        <f t="shared" si="8"/>
        <v>82.5</v>
      </c>
      <c r="DI29" s="13">
        <f t="shared" si="9"/>
        <v>83</v>
      </c>
      <c r="DJ29" s="13">
        <f t="shared" si="10"/>
        <v>80</v>
      </c>
      <c r="DK29" s="13">
        <f t="shared" si="11"/>
        <v>76.5</v>
      </c>
      <c r="DL29" s="13">
        <f t="shared" si="12"/>
        <v>80</v>
      </c>
      <c r="DM29" s="13">
        <f t="shared" si="13"/>
        <v>88.5</v>
      </c>
      <c r="DN29" s="13">
        <f t="shared" si="14"/>
        <v>82.5</v>
      </c>
      <c r="DO29" s="13">
        <f t="shared" si="15"/>
        <v>87.25</v>
      </c>
      <c r="DP29" s="13">
        <f t="shared" si="16"/>
        <v>83</v>
      </c>
      <c r="DQ29" s="13">
        <f t="shared" si="17"/>
        <v>84</v>
      </c>
      <c r="DR29" s="13">
        <f t="shared" si="18"/>
        <v>85</v>
      </c>
      <c r="DS29">
        <f t="shared" si="19"/>
        <v>84.75</v>
      </c>
      <c r="DT29">
        <f t="shared" si="20"/>
        <v>81.166666666666671</v>
      </c>
      <c r="DU29">
        <f t="shared" si="21"/>
        <v>85.5</v>
      </c>
      <c r="DV29" s="31">
        <f t="shared" si="22"/>
        <v>83.48171768707482</v>
      </c>
    </row>
    <row r="30" spans="1:126">
      <c r="A30">
        <v>29</v>
      </c>
      <c r="B30">
        <f>'DATA US'!B43</f>
        <v>222310027</v>
      </c>
      <c r="C30" t="str">
        <f>'DATA US'!C43</f>
        <v>0078911090</v>
      </c>
      <c r="D30">
        <f>'DATA US'!B125</f>
        <v>222310107</v>
      </c>
      <c r="E30" t="str">
        <f>'DATA US'!C125</f>
        <v>0078011149</v>
      </c>
      <c r="F30" t="str">
        <f>'DATA US'!F125</f>
        <v>Bekasi</v>
      </c>
      <c r="G30" s="5">
        <v>39333</v>
      </c>
      <c r="H30" t="str">
        <f>'DATA US'!D125</f>
        <v>SYAHRUL GUNAWAN</v>
      </c>
      <c r="I30">
        <v>82</v>
      </c>
      <c r="J30">
        <v>84</v>
      </c>
      <c r="K30">
        <v>89</v>
      </c>
      <c r="L30">
        <v>90</v>
      </c>
      <c r="M30">
        <v>83</v>
      </c>
      <c r="N30">
        <v>84</v>
      </c>
      <c r="O30">
        <v>83</v>
      </c>
      <c r="P30">
        <v>86</v>
      </c>
      <c r="Q30">
        <v>83</v>
      </c>
      <c r="R30">
        <v>85</v>
      </c>
      <c r="S30">
        <v>84</v>
      </c>
      <c r="T30">
        <v>87</v>
      </c>
      <c r="U30">
        <v>83</v>
      </c>
      <c r="V30">
        <v>79</v>
      </c>
      <c r="W30">
        <v>82</v>
      </c>
      <c r="X30">
        <v>88</v>
      </c>
      <c r="Y30">
        <v>82</v>
      </c>
      <c r="Z30">
        <v>87</v>
      </c>
      <c r="AA30">
        <v>79</v>
      </c>
      <c r="AB30">
        <v>76</v>
      </c>
      <c r="AC30">
        <v>79</v>
      </c>
      <c r="AD30">
        <v>80</v>
      </c>
      <c r="AE30">
        <v>85</v>
      </c>
      <c r="AF30">
        <v>87</v>
      </c>
      <c r="AG30">
        <v>79</v>
      </c>
      <c r="AH30">
        <v>77</v>
      </c>
      <c r="AI30">
        <v>83</v>
      </c>
      <c r="AJ30">
        <v>91</v>
      </c>
      <c r="AK30">
        <v>84</v>
      </c>
      <c r="AL30">
        <v>81</v>
      </c>
      <c r="AM30">
        <v>86</v>
      </c>
      <c r="AN30">
        <v>86</v>
      </c>
      <c r="AR30">
        <v>84</v>
      </c>
      <c r="AS30">
        <v>81</v>
      </c>
      <c r="AT30">
        <v>80</v>
      </c>
      <c r="AU30">
        <v>81</v>
      </c>
      <c r="AV30">
        <v>83</v>
      </c>
      <c r="AW30">
        <v>82</v>
      </c>
      <c r="AZ30">
        <v>78</v>
      </c>
      <c r="BA30">
        <v>86</v>
      </c>
      <c r="BB30">
        <v>83</v>
      </c>
      <c r="BC30">
        <v>84</v>
      </c>
      <c r="BD30">
        <v>83</v>
      </c>
      <c r="BE30">
        <v>83</v>
      </c>
      <c r="BF30">
        <v>78</v>
      </c>
      <c r="BG30">
        <v>85</v>
      </c>
      <c r="BH30">
        <v>93</v>
      </c>
      <c r="BI30">
        <v>91</v>
      </c>
      <c r="BJ30">
        <v>80</v>
      </c>
      <c r="BK30">
        <v>84</v>
      </c>
      <c r="BL30">
        <v>85</v>
      </c>
      <c r="BM30">
        <v>87</v>
      </c>
      <c r="BN30">
        <v>80</v>
      </c>
      <c r="BO30">
        <v>82</v>
      </c>
      <c r="BP30">
        <v>85</v>
      </c>
      <c r="BQ30">
        <v>81</v>
      </c>
      <c r="BR30" s="13">
        <v>82</v>
      </c>
      <c r="BS30">
        <v>91</v>
      </c>
      <c r="BT30">
        <v>88</v>
      </c>
      <c r="BU30">
        <v>87</v>
      </c>
      <c r="BV30">
        <v>82</v>
      </c>
      <c r="BW30">
        <v>91</v>
      </c>
      <c r="BX30">
        <v>84</v>
      </c>
      <c r="BY30">
        <v>88</v>
      </c>
      <c r="BZ30">
        <v>84</v>
      </c>
      <c r="CA30">
        <v>87</v>
      </c>
      <c r="CB30">
        <v>81</v>
      </c>
      <c r="CC30">
        <v>84</v>
      </c>
      <c r="CD30">
        <v>86</v>
      </c>
      <c r="CE30">
        <v>86</v>
      </c>
      <c r="CF30">
        <v>85</v>
      </c>
      <c r="CG30">
        <v>86</v>
      </c>
      <c r="CH30" s="17" t="s">
        <v>1028</v>
      </c>
      <c r="CI30" s="17" t="s">
        <v>1168</v>
      </c>
      <c r="CJ30" s="17" t="s">
        <v>1195</v>
      </c>
      <c r="CK30" s="25" t="s">
        <v>996</v>
      </c>
      <c r="CL30" s="17" t="s">
        <v>1098</v>
      </c>
      <c r="CM30" s="19" t="s">
        <v>1099</v>
      </c>
      <c r="CN30" s="19" t="s">
        <v>1100</v>
      </c>
      <c r="CO30" s="25" t="s">
        <v>996</v>
      </c>
      <c r="CT30" s="31">
        <v>90</v>
      </c>
      <c r="CU30">
        <v>85</v>
      </c>
      <c r="CV30">
        <v>98</v>
      </c>
      <c r="CW30">
        <v>92</v>
      </c>
      <c r="CX30" s="13">
        <v>86.5</v>
      </c>
      <c r="CY30" s="13">
        <v>88.857142857142904</v>
      </c>
      <c r="CZ30" s="13">
        <f t="shared" si="0"/>
        <v>85.333333333333329</v>
      </c>
      <c r="DA30" s="13">
        <f t="shared" si="1"/>
        <v>84.666666666666671</v>
      </c>
      <c r="DB30" s="13">
        <f t="shared" si="2"/>
        <v>81</v>
      </c>
      <c r="DC30" s="13">
        <f t="shared" si="3"/>
        <v>83.5</v>
      </c>
      <c r="DD30" s="13">
        <f t="shared" si="4"/>
        <v>82.5</v>
      </c>
      <c r="DE30" s="13">
        <f t="shared" si="5"/>
        <v>82.5</v>
      </c>
      <c r="DF30" s="13">
        <f t="shared" si="6"/>
        <v>81.5</v>
      </c>
      <c r="DG30" s="13">
        <f t="shared" si="7"/>
        <v>85.5</v>
      </c>
      <c r="DH30" s="13">
        <f t="shared" si="8"/>
        <v>83</v>
      </c>
      <c r="DI30" s="13">
        <f t="shared" si="9"/>
        <v>83.5</v>
      </c>
      <c r="DJ30" s="13">
        <f t="shared" si="10"/>
        <v>82</v>
      </c>
      <c r="DK30" s="13">
        <f t="shared" si="11"/>
        <v>81.5</v>
      </c>
      <c r="DL30" s="13">
        <f t="shared" si="12"/>
        <v>82</v>
      </c>
      <c r="DM30" s="13">
        <f t="shared" si="13"/>
        <v>92</v>
      </c>
      <c r="DN30" s="13">
        <f t="shared" si="14"/>
        <v>86</v>
      </c>
      <c r="DO30" s="13">
        <f t="shared" si="15"/>
        <v>87</v>
      </c>
      <c r="DP30" s="13">
        <f t="shared" si="16"/>
        <v>82</v>
      </c>
      <c r="DQ30" s="13">
        <f t="shared" si="17"/>
        <v>84.25</v>
      </c>
      <c r="DR30" s="13">
        <f t="shared" si="18"/>
        <v>85.5</v>
      </c>
      <c r="DS30">
        <f t="shared" si="19"/>
        <v>86.25</v>
      </c>
      <c r="DT30">
        <f t="shared" si="20"/>
        <v>81</v>
      </c>
      <c r="DU30">
        <f t="shared" si="21"/>
        <v>86</v>
      </c>
      <c r="DV30" s="31">
        <f t="shared" si="22"/>
        <v>85.316326530612258</v>
      </c>
    </row>
    <row r="31" spans="1:126">
      <c r="A31">
        <v>30</v>
      </c>
      <c r="B31">
        <f>'DATA US'!B44</f>
        <v>222310028</v>
      </c>
      <c r="C31" t="str">
        <f>'DATA US'!C44</f>
        <v>0078505225</v>
      </c>
      <c r="D31">
        <f>'DATA US'!B126</f>
        <v>222310108</v>
      </c>
      <c r="E31" t="str">
        <f>'DATA US'!C126</f>
        <v>0067521435</v>
      </c>
      <c r="F31" t="str">
        <f>'DATA US'!F126</f>
        <v>Bekasi</v>
      </c>
      <c r="G31" s="5" t="s">
        <v>683</v>
      </c>
      <c r="H31" t="str">
        <f>'DATA US'!D126</f>
        <v>WIJAYANTO FUJI GUMELAR</v>
      </c>
      <c r="I31">
        <v>79</v>
      </c>
      <c r="J31">
        <v>81</v>
      </c>
      <c r="K31">
        <v>89</v>
      </c>
      <c r="L31">
        <v>89</v>
      </c>
      <c r="M31">
        <v>84</v>
      </c>
      <c r="N31">
        <v>84</v>
      </c>
      <c r="O31">
        <v>85</v>
      </c>
      <c r="P31">
        <v>87</v>
      </c>
      <c r="Q31">
        <v>84</v>
      </c>
      <c r="R31">
        <v>84</v>
      </c>
      <c r="S31">
        <v>85</v>
      </c>
      <c r="T31">
        <v>88</v>
      </c>
      <c r="U31">
        <v>81</v>
      </c>
      <c r="V31">
        <v>81</v>
      </c>
      <c r="W31">
        <v>82</v>
      </c>
      <c r="X31">
        <v>87</v>
      </c>
      <c r="Y31">
        <v>83</v>
      </c>
      <c r="Z31">
        <v>93</v>
      </c>
      <c r="AA31">
        <v>78</v>
      </c>
      <c r="AB31">
        <v>81</v>
      </c>
      <c r="AC31">
        <v>82</v>
      </c>
      <c r="AD31">
        <v>81</v>
      </c>
      <c r="AE31">
        <v>89</v>
      </c>
      <c r="AF31">
        <v>93</v>
      </c>
      <c r="AG31">
        <v>81</v>
      </c>
      <c r="AH31">
        <v>83</v>
      </c>
      <c r="AI31">
        <v>85</v>
      </c>
      <c r="AJ31">
        <v>90</v>
      </c>
      <c r="AK31">
        <v>88</v>
      </c>
      <c r="AL31">
        <v>87</v>
      </c>
      <c r="AM31">
        <v>85</v>
      </c>
      <c r="AN31">
        <v>88</v>
      </c>
      <c r="AR31">
        <v>87</v>
      </c>
      <c r="AS31">
        <v>81</v>
      </c>
      <c r="AT31">
        <v>83</v>
      </c>
      <c r="AU31">
        <v>82</v>
      </c>
      <c r="AV31">
        <v>85</v>
      </c>
      <c r="AW31">
        <v>83</v>
      </c>
      <c r="AZ31">
        <v>78</v>
      </c>
      <c r="BA31">
        <v>85</v>
      </c>
      <c r="BB31">
        <v>82</v>
      </c>
      <c r="BC31">
        <v>83</v>
      </c>
      <c r="BD31">
        <v>83</v>
      </c>
      <c r="BE31">
        <v>84</v>
      </c>
      <c r="BF31">
        <v>77</v>
      </c>
      <c r="BG31">
        <v>85</v>
      </c>
      <c r="BH31">
        <v>93</v>
      </c>
      <c r="BI31">
        <v>89</v>
      </c>
      <c r="BJ31">
        <v>79</v>
      </c>
      <c r="BK31">
        <v>81</v>
      </c>
      <c r="BL31">
        <v>81</v>
      </c>
      <c r="BM31">
        <v>85</v>
      </c>
      <c r="BN31">
        <v>80</v>
      </c>
      <c r="BO31">
        <v>82</v>
      </c>
      <c r="BP31">
        <v>84</v>
      </c>
      <c r="BQ31">
        <v>87</v>
      </c>
      <c r="BR31" s="13">
        <v>83</v>
      </c>
      <c r="BS31">
        <v>86</v>
      </c>
      <c r="BT31">
        <v>89</v>
      </c>
      <c r="BU31">
        <v>88</v>
      </c>
      <c r="BV31">
        <v>83</v>
      </c>
      <c r="BW31">
        <v>88</v>
      </c>
      <c r="BX31">
        <v>84</v>
      </c>
      <c r="BY31">
        <v>87</v>
      </c>
      <c r="BZ31">
        <v>85</v>
      </c>
      <c r="CA31">
        <v>88</v>
      </c>
      <c r="CB31">
        <v>82</v>
      </c>
      <c r="CC31">
        <v>85</v>
      </c>
      <c r="CD31">
        <v>87</v>
      </c>
      <c r="CE31">
        <v>87</v>
      </c>
      <c r="CF31">
        <v>86</v>
      </c>
      <c r="CG31">
        <v>89</v>
      </c>
      <c r="CH31" s="17" t="s">
        <v>1165</v>
      </c>
      <c r="CI31" s="17" t="s">
        <v>1166</v>
      </c>
      <c r="CJ31" s="17" t="s">
        <v>1167</v>
      </c>
      <c r="CK31" s="25" t="s">
        <v>1000</v>
      </c>
      <c r="CL31" s="17" t="s">
        <v>1028</v>
      </c>
      <c r="CM31" s="17" t="s">
        <v>1168</v>
      </c>
      <c r="CN31" s="17" t="s">
        <v>1195</v>
      </c>
      <c r="CO31" s="25" t="s">
        <v>1000</v>
      </c>
      <c r="CP31" s="17" t="s">
        <v>1084</v>
      </c>
      <c r="CQ31" s="17" t="s">
        <v>1085</v>
      </c>
      <c r="CR31" s="17" t="s">
        <v>1086</v>
      </c>
      <c r="CS31" s="298" t="s">
        <v>1000</v>
      </c>
      <c r="CT31" s="31">
        <v>87.6666666666667</v>
      </c>
      <c r="CU31">
        <v>85</v>
      </c>
      <c r="CV31">
        <v>86</v>
      </c>
      <c r="CW31">
        <v>86</v>
      </c>
      <c r="CX31" s="13">
        <v>84</v>
      </c>
      <c r="CY31" s="13">
        <v>89.142857142857096</v>
      </c>
      <c r="CZ31" s="13">
        <f t="shared" si="0"/>
        <v>84.333333333333329</v>
      </c>
      <c r="DA31" s="13">
        <f t="shared" si="1"/>
        <v>85.5</v>
      </c>
      <c r="DB31" s="13">
        <f t="shared" si="2"/>
        <v>84</v>
      </c>
      <c r="DC31" s="13">
        <f t="shared" si="3"/>
        <v>84.5</v>
      </c>
      <c r="DD31" s="13">
        <f t="shared" si="4"/>
        <v>85.666666666666671</v>
      </c>
      <c r="DE31" s="13">
        <f t="shared" si="5"/>
        <v>84</v>
      </c>
      <c r="DF31" s="13">
        <f t="shared" si="6"/>
        <v>83.25</v>
      </c>
      <c r="DG31" s="13">
        <f t="shared" si="7"/>
        <v>87.5</v>
      </c>
      <c r="DH31" s="13">
        <f t="shared" si="8"/>
        <v>83.5</v>
      </c>
      <c r="DI31" s="13">
        <f t="shared" si="9"/>
        <v>82.5</v>
      </c>
      <c r="DJ31" s="13">
        <f t="shared" si="10"/>
        <v>81.5</v>
      </c>
      <c r="DK31" s="13">
        <f t="shared" si="11"/>
        <v>81</v>
      </c>
      <c r="DL31" s="13">
        <f t="shared" si="12"/>
        <v>80</v>
      </c>
      <c r="DM31" s="13">
        <f t="shared" si="13"/>
        <v>91</v>
      </c>
      <c r="DN31" s="13">
        <f t="shared" si="14"/>
        <v>83</v>
      </c>
      <c r="DO31" s="13">
        <f t="shared" si="15"/>
        <v>86.5</v>
      </c>
      <c r="DP31" s="13">
        <f t="shared" si="16"/>
        <v>83.25</v>
      </c>
      <c r="DQ31" s="13">
        <f t="shared" si="17"/>
        <v>85.25</v>
      </c>
      <c r="DR31" s="13">
        <f t="shared" si="18"/>
        <v>86.5</v>
      </c>
      <c r="DS31">
        <f t="shared" si="19"/>
        <v>85.5</v>
      </c>
      <c r="DT31">
        <f t="shared" si="20"/>
        <v>84</v>
      </c>
      <c r="DU31">
        <f t="shared" si="21"/>
        <v>86.5</v>
      </c>
      <c r="DV31" s="31">
        <f t="shared" si="22"/>
        <v>84.877125850340136</v>
      </c>
    </row>
    <row r="32" spans="1:126">
      <c r="A32">
        <v>31</v>
      </c>
      <c r="B32">
        <f>'DATA US'!B45</f>
        <v>222310029</v>
      </c>
      <c r="C32" t="str">
        <f>'DATA US'!C45</f>
        <v>0071843924</v>
      </c>
      <c r="D32">
        <f>'DATA US'!B127</f>
        <v>222310109</v>
      </c>
      <c r="E32" t="str">
        <f>'DATA US'!C127</f>
        <v>0071766661</v>
      </c>
      <c r="F32" t="str">
        <f>'DATA US'!F127</f>
        <v>Bekasi</v>
      </c>
      <c r="G32" s="5" t="s">
        <v>689</v>
      </c>
      <c r="H32" t="str">
        <f>'DATA US'!D127</f>
        <v>YULIANDA ASSYIFA NAZWA</v>
      </c>
      <c r="I32">
        <v>81</v>
      </c>
      <c r="J32">
        <v>79</v>
      </c>
      <c r="K32">
        <v>87</v>
      </c>
      <c r="L32">
        <v>88</v>
      </c>
      <c r="M32">
        <v>83</v>
      </c>
      <c r="N32">
        <v>85</v>
      </c>
      <c r="O32">
        <v>83</v>
      </c>
      <c r="P32">
        <v>84</v>
      </c>
      <c r="Q32">
        <v>83</v>
      </c>
      <c r="R32">
        <v>84</v>
      </c>
      <c r="S32">
        <v>84</v>
      </c>
      <c r="T32">
        <v>86</v>
      </c>
      <c r="U32">
        <v>78</v>
      </c>
      <c r="V32">
        <v>79</v>
      </c>
      <c r="W32">
        <v>86</v>
      </c>
      <c r="X32">
        <v>89</v>
      </c>
      <c r="Y32">
        <v>84</v>
      </c>
      <c r="Z32">
        <v>86</v>
      </c>
      <c r="AA32">
        <v>78</v>
      </c>
      <c r="AB32">
        <v>79</v>
      </c>
      <c r="AC32">
        <v>79</v>
      </c>
      <c r="AD32">
        <v>79</v>
      </c>
      <c r="AE32">
        <v>88</v>
      </c>
      <c r="AF32">
        <v>87</v>
      </c>
      <c r="AG32">
        <v>77</v>
      </c>
      <c r="AH32">
        <v>78</v>
      </c>
      <c r="AI32">
        <v>87</v>
      </c>
      <c r="AJ32">
        <v>90</v>
      </c>
      <c r="AK32">
        <v>87</v>
      </c>
      <c r="AL32">
        <v>80</v>
      </c>
      <c r="AM32">
        <v>85</v>
      </c>
      <c r="AN32">
        <v>86</v>
      </c>
      <c r="AR32">
        <v>84</v>
      </c>
      <c r="AS32">
        <v>83</v>
      </c>
      <c r="AT32">
        <v>82</v>
      </c>
      <c r="AU32">
        <v>82</v>
      </c>
      <c r="AV32">
        <v>85</v>
      </c>
      <c r="AW32">
        <v>83</v>
      </c>
      <c r="AZ32">
        <v>78</v>
      </c>
      <c r="BA32">
        <v>80</v>
      </c>
      <c r="BB32">
        <v>83</v>
      </c>
      <c r="BC32">
        <v>83</v>
      </c>
      <c r="BD32">
        <v>83</v>
      </c>
      <c r="BE32">
        <v>83</v>
      </c>
      <c r="BF32">
        <v>77</v>
      </c>
      <c r="BG32">
        <v>83</v>
      </c>
      <c r="BH32">
        <v>90</v>
      </c>
      <c r="BI32">
        <v>91</v>
      </c>
      <c r="BJ32">
        <v>80</v>
      </c>
      <c r="BK32">
        <v>81</v>
      </c>
      <c r="BL32">
        <v>83</v>
      </c>
      <c r="BM32">
        <v>85</v>
      </c>
      <c r="BN32">
        <v>83</v>
      </c>
      <c r="BO32">
        <v>84</v>
      </c>
      <c r="BP32">
        <v>84</v>
      </c>
      <c r="BQ32">
        <v>80</v>
      </c>
      <c r="BR32" s="13">
        <v>89</v>
      </c>
      <c r="BS32">
        <v>87</v>
      </c>
      <c r="BT32">
        <v>88</v>
      </c>
      <c r="BU32">
        <v>88</v>
      </c>
      <c r="BV32">
        <v>84</v>
      </c>
      <c r="BW32">
        <v>87</v>
      </c>
      <c r="BX32">
        <v>85</v>
      </c>
      <c r="BY32">
        <v>90</v>
      </c>
      <c r="BZ32">
        <v>85</v>
      </c>
      <c r="CA32">
        <v>86</v>
      </c>
      <c r="CB32">
        <v>83</v>
      </c>
      <c r="CC32">
        <v>83</v>
      </c>
      <c r="CD32">
        <v>87</v>
      </c>
      <c r="CE32">
        <v>87</v>
      </c>
      <c r="CF32">
        <v>85</v>
      </c>
      <c r="CG32">
        <v>85</v>
      </c>
      <c r="CH32" s="17" t="s">
        <v>1098</v>
      </c>
      <c r="CI32" s="19" t="s">
        <v>1099</v>
      </c>
      <c r="CJ32" s="17" t="s">
        <v>1196</v>
      </c>
      <c r="CK32" s="25" t="s">
        <v>996</v>
      </c>
      <c r="CL32" s="17" t="s">
        <v>1178</v>
      </c>
      <c r="CM32" s="27" t="s">
        <v>1197</v>
      </c>
      <c r="CN32" s="17" t="s">
        <v>1198</v>
      </c>
      <c r="CO32" s="25" t="s">
        <v>996</v>
      </c>
      <c r="CT32" s="31">
        <v>89.6666666666667</v>
      </c>
      <c r="CU32">
        <v>84</v>
      </c>
      <c r="CV32">
        <v>83</v>
      </c>
      <c r="CW32">
        <v>86</v>
      </c>
      <c r="CX32" s="13">
        <v>82.25</v>
      </c>
      <c r="CY32" s="13">
        <v>88.857142857142904</v>
      </c>
      <c r="CZ32" s="13">
        <f t="shared" si="0"/>
        <v>83.833333333333329</v>
      </c>
      <c r="DA32" s="13">
        <f t="shared" si="1"/>
        <v>84</v>
      </c>
      <c r="DB32" s="13">
        <f t="shared" si="2"/>
        <v>81.666666666666671</v>
      </c>
      <c r="DC32" s="13">
        <f t="shared" si="3"/>
        <v>83.666666666666671</v>
      </c>
      <c r="DD32" s="13">
        <f t="shared" si="4"/>
        <v>83.166666666666671</v>
      </c>
      <c r="DE32" s="13">
        <f t="shared" si="5"/>
        <v>83.5</v>
      </c>
      <c r="DF32" s="13">
        <f t="shared" si="6"/>
        <v>83</v>
      </c>
      <c r="DG32" s="13">
        <f t="shared" si="7"/>
        <v>85</v>
      </c>
      <c r="DH32" s="13">
        <f t="shared" si="8"/>
        <v>83</v>
      </c>
      <c r="DI32" s="13">
        <f t="shared" si="9"/>
        <v>83</v>
      </c>
      <c r="DJ32" s="13">
        <f t="shared" si="10"/>
        <v>79</v>
      </c>
      <c r="DK32" s="13">
        <f t="shared" si="11"/>
        <v>80</v>
      </c>
      <c r="DL32" s="13">
        <f t="shared" si="12"/>
        <v>80.5</v>
      </c>
      <c r="DM32" s="13">
        <f t="shared" si="13"/>
        <v>90.5</v>
      </c>
      <c r="DN32" s="13">
        <f t="shared" si="14"/>
        <v>84</v>
      </c>
      <c r="DO32" s="13">
        <f t="shared" si="15"/>
        <v>88</v>
      </c>
      <c r="DP32" s="13">
        <f t="shared" si="16"/>
        <v>82.75</v>
      </c>
      <c r="DQ32" s="13">
        <f t="shared" si="17"/>
        <v>85</v>
      </c>
      <c r="DR32" s="13">
        <f t="shared" si="18"/>
        <v>85.5</v>
      </c>
      <c r="DS32">
        <f t="shared" si="19"/>
        <v>86.5</v>
      </c>
      <c r="DT32">
        <f t="shared" si="20"/>
        <v>81.666666666666671</v>
      </c>
      <c r="DU32">
        <f t="shared" si="21"/>
        <v>85.5</v>
      </c>
      <c r="DV32" s="31">
        <f t="shared" si="22"/>
        <v>84.161564625850346</v>
      </c>
    </row>
    <row r="33" spans="1:126" s="2" customFormat="1">
      <c r="A33" s="2">
        <v>32</v>
      </c>
      <c r="B33" s="2">
        <f>'DATA US'!B46</f>
        <v>242512086</v>
      </c>
      <c r="C33" s="2" t="str">
        <f>'DATA US'!C46</f>
        <v>0075620652</v>
      </c>
      <c r="D33" s="2">
        <f>'DATA US'!B128</f>
        <v>242512087</v>
      </c>
      <c r="E33" s="2" t="str">
        <f>'DATA US'!C128</f>
        <v>0066035802</v>
      </c>
      <c r="F33" t="str">
        <f>'DATA US'!F128</f>
        <v>Bekasi</v>
      </c>
      <c r="G33" s="2" t="s">
        <v>694</v>
      </c>
      <c r="H33" s="2" t="str">
        <f>'DATA US'!D128</f>
        <v>DWI ARIFANI ADZANA</v>
      </c>
      <c r="I33" s="2">
        <v>79</v>
      </c>
      <c r="J33" s="2">
        <v>78</v>
      </c>
      <c r="K33" s="2">
        <v>82</v>
      </c>
      <c r="L33" s="2">
        <v>85</v>
      </c>
      <c r="M33" s="2">
        <v>80</v>
      </c>
      <c r="N33" s="2">
        <v>81</v>
      </c>
      <c r="O33" s="2">
        <v>81</v>
      </c>
      <c r="P33" s="2">
        <v>81</v>
      </c>
      <c r="Q33" s="2">
        <v>81</v>
      </c>
      <c r="R33" s="2">
        <v>81</v>
      </c>
      <c r="S33" s="2">
        <v>81</v>
      </c>
      <c r="T33" s="2">
        <v>85</v>
      </c>
      <c r="U33" s="2">
        <v>78</v>
      </c>
      <c r="V33" s="2">
        <v>79</v>
      </c>
      <c r="W33" s="2">
        <v>82</v>
      </c>
      <c r="X33" s="2">
        <v>85</v>
      </c>
      <c r="Y33" s="2">
        <v>81</v>
      </c>
      <c r="Z33" s="2">
        <v>85</v>
      </c>
      <c r="AA33" s="2">
        <v>78</v>
      </c>
      <c r="AB33" s="2">
        <v>78</v>
      </c>
      <c r="AC33" s="2">
        <v>79</v>
      </c>
      <c r="AD33" s="2">
        <v>79</v>
      </c>
      <c r="AE33" s="2">
        <v>85</v>
      </c>
      <c r="AF33" s="2">
        <v>92</v>
      </c>
      <c r="AG33" s="2">
        <v>77</v>
      </c>
      <c r="AH33" s="2">
        <v>79</v>
      </c>
      <c r="AI33" s="2">
        <v>81</v>
      </c>
      <c r="AJ33" s="2">
        <v>83</v>
      </c>
      <c r="AK33" s="2">
        <v>83</v>
      </c>
      <c r="AL33" s="2">
        <v>82</v>
      </c>
      <c r="AM33" s="2">
        <v>85</v>
      </c>
      <c r="AN33" s="2">
        <v>85</v>
      </c>
      <c r="AR33" s="2">
        <v>81</v>
      </c>
      <c r="AS33" s="2">
        <v>80</v>
      </c>
      <c r="AT33" s="2">
        <v>80</v>
      </c>
      <c r="AU33" s="2">
        <v>81</v>
      </c>
      <c r="AV33" s="2">
        <v>83</v>
      </c>
      <c r="AW33" s="2">
        <v>81</v>
      </c>
      <c r="AZ33" s="2">
        <v>76</v>
      </c>
      <c r="BA33" s="2">
        <v>80</v>
      </c>
      <c r="BB33" s="2">
        <v>81</v>
      </c>
      <c r="BC33" s="2">
        <v>83</v>
      </c>
      <c r="BD33" s="2">
        <v>83</v>
      </c>
      <c r="BE33" s="2">
        <v>83</v>
      </c>
      <c r="BF33" s="2">
        <v>76</v>
      </c>
      <c r="BG33" s="2">
        <v>79</v>
      </c>
      <c r="BH33" s="2">
        <v>81</v>
      </c>
      <c r="BI33" s="2">
        <v>78</v>
      </c>
      <c r="BJ33" s="2">
        <v>78</v>
      </c>
      <c r="BK33" s="2">
        <v>80</v>
      </c>
      <c r="BL33" s="2">
        <v>78</v>
      </c>
      <c r="BM33" s="2">
        <v>84</v>
      </c>
      <c r="BN33" s="2">
        <v>80</v>
      </c>
      <c r="BO33" s="2">
        <v>82</v>
      </c>
      <c r="BP33" s="2">
        <v>82</v>
      </c>
      <c r="BQ33" s="2">
        <v>82</v>
      </c>
      <c r="BR33" s="14">
        <v>82</v>
      </c>
      <c r="BS33" s="2">
        <v>85</v>
      </c>
      <c r="BT33" s="2">
        <v>87</v>
      </c>
      <c r="BU33" s="2">
        <v>87</v>
      </c>
      <c r="BV33" s="2">
        <v>82</v>
      </c>
      <c r="BW33" s="2">
        <v>83</v>
      </c>
      <c r="BX33" s="2">
        <v>84</v>
      </c>
      <c r="BY33" s="2">
        <v>90</v>
      </c>
      <c r="BZ33" s="2">
        <v>82</v>
      </c>
      <c r="CA33" s="2">
        <v>85</v>
      </c>
      <c r="CB33" s="2">
        <v>80</v>
      </c>
      <c r="CC33" s="2">
        <v>82</v>
      </c>
      <c r="CD33" s="2">
        <v>86</v>
      </c>
      <c r="CE33" s="2">
        <v>86</v>
      </c>
      <c r="CF33" s="2">
        <v>81</v>
      </c>
      <c r="CG33" s="2">
        <v>81</v>
      </c>
      <c r="CH33" s="301" t="s">
        <v>1266</v>
      </c>
      <c r="CJ33" s="297" t="s">
        <v>1263</v>
      </c>
      <c r="CK33" s="301" t="s">
        <v>996</v>
      </c>
      <c r="CL33" s="20"/>
      <c r="CM33" s="20"/>
      <c r="CN33" s="20"/>
      <c r="CO33" s="34"/>
      <c r="CT33" s="33">
        <v>90.6666666666667</v>
      </c>
      <c r="CU33" s="2">
        <v>84.3333333333333</v>
      </c>
      <c r="CV33" s="2">
        <v>88</v>
      </c>
      <c r="CW33" s="2">
        <v>90</v>
      </c>
      <c r="CX33" s="14">
        <v>83.75</v>
      </c>
      <c r="CY33" s="14">
        <v>88.571428571428598</v>
      </c>
      <c r="CZ33" s="13">
        <f t="shared" si="0"/>
        <v>80.833333333333329</v>
      </c>
      <c r="DA33" s="13">
        <f t="shared" si="1"/>
        <v>81.666666666666671</v>
      </c>
      <c r="DB33" s="13">
        <f t="shared" si="2"/>
        <v>81.833333333333329</v>
      </c>
      <c r="DC33" s="13">
        <f t="shared" si="3"/>
        <v>81.666666666666671</v>
      </c>
      <c r="DD33" s="13">
        <f t="shared" si="4"/>
        <v>80.833333333333329</v>
      </c>
      <c r="DE33" s="13">
        <f t="shared" si="5"/>
        <v>80.5</v>
      </c>
      <c r="DF33" s="13">
        <f t="shared" si="6"/>
        <v>81.25</v>
      </c>
      <c r="DG33" s="13">
        <f t="shared" si="7"/>
        <v>81</v>
      </c>
      <c r="DH33" s="13">
        <f t="shared" si="8"/>
        <v>83</v>
      </c>
      <c r="DI33" s="13">
        <f t="shared" si="9"/>
        <v>82</v>
      </c>
      <c r="DJ33" s="13">
        <f t="shared" si="10"/>
        <v>78</v>
      </c>
      <c r="DK33" s="13">
        <f t="shared" si="11"/>
        <v>77.5</v>
      </c>
      <c r="DL33" s="13">
        <f t="shared" si="12"/>
        <v>79</v>
      </c>
      <c r="DM33" s="13">
        <f t="shared" si="13"/>
        <v>79.5</v>
      </c>
      <c r="DN33" s="13">
        <f t="shared" si="14"/>
        <v>81</v>
      </c>
      <c r="DO33" s="13">
        <f t="shared" si="15"/>
        <v>85.25</v>
      </c>
      <c r="DP33" s="13">
        <f t="shared" si="16"/>
        <v>81.5</v>
      </c>
      <c r="DQ33" s="13">
        <f t="shared" si="17"/>
        <v>83.5</v>
      </c>
      <c r="DR33" s="13">
        <f t="shared" si="18"/>
        <v>83.5</v>
      </c>
      <c r="DS33">
        <f t="shared" si="19"/>
        <v>84.75</v>
      </c>
      <c r="DT33">
        <f t="shared" si="20"/>
        <v>81.833333333333329</v>
      </c>
      <c r="DU33">
        <f t="shared" si="21"/>
        <v>85</v>
      </c>
      <c r="DV33" s="31">
        <f t="shared" si="22"/>
        <v>82.865646258503403</v>
      </c>
    </row>
    <row r="34" spans="1:126" s="3" customFormat="1">
      <c r="A34" s="3">
        <v>33</v>
      </c>
      <c r="B34" s="3">
        <f>'DATA US'!B47</f>
        <v>222310030</v>
      </c>
      <c r="C34" s="3" t="str">
        <f>'DATA US'!C47</f>
        <v>0076215153</v>
      </c>
      <c r="D34" s="3">
        <f>'DATA US'!B129</f>
        <v>222310110</v>
      </c>
      <c r="E34" s="3" t="str">
        <f>'DATA US'!C129</f>
        <v>0064926120</v>
      </c>
      <c r="F34" t="str">
        <f>'DATA US'!F129</f>
        <v>Bekasi</v>
      </c>
      <c r="G34" s="6" t="s">
        <v>700</v>
      </c>
      <c r="H34" s="3" t="str">
        <f>'DATA US'!D129</f>
        <v>ABI MAULANA CHANDRA</v>
      </c>
      <c r="I34" s="3">
        <v>85</v>
      </c>
      <c r="J34" s="3">
        <v>85</v>
      </c>
      <c r="K34" s="3">
        <v>90</v>
      </c>
      <c r="L34" s="3">
        <v>87</v>
      </c>
      <c r="M34" s="3">
        <v>83</v>
      </c>
      <c r="N34" s="3">
        <v>86</v>
      </c>
      <c r="O34" s="3">
        <v>85</v>
      </c>
      <c r="P34" s="3">
        <v>88</v>
      </c>
      <c r="Q34" s="3">
        <v>86</v>
      </c>
      <c r="R34" s="3">
        <v>86</v>
      </c>
      <c r="S34" s="3">
        <v>86</v>
      </c>
      <c r="T34" s="3">
        <v>90</v>
      </c>
      <c r="U34" s="3">
        <v>80</v>
      </c>
      <c r="V34" s="3">
        <v>88</v>
      </c>
      <c r="W34" s="3">
        <v>93</v>
      </c>
      <c r="X34" s="3">
        <v>93</v>
      </c>
      <c r="Y34" s="3">
        <v>90</v>
      </c>
      <c r="Z34" s="3">
        <v>93</v>
      </c>
      <c r="AA34" s="3">
        <v>81</v>
      </c>
      <c r="AB34" s="3">
        <v>84</v>
      </c>
      <c r="AC34" s="3">
        <v>84</v>
      </c>
      <c r="AD34" s="3">
        <v>91</v>
      </c>
      <c r="AE34" s="3">
        <v>89</v>
      </c>
      <c r="AF34" s="3">
        <v>95</v>
      </c>
      <c r="AG34" s="3">
        <v>84</v>
      </c>
      <c r="AH34" s="3">
        <v>85</v>
      </c>
      <c r="AI34" s="3">
        <v>85</v>
      </c>
      <c r="AJ34" s="3">
        <v>94</v>
      </c>
      <c r="AK34" s="3">
        <v>90</v>
      </c>
      <c r="AL34" s="3">
        <v>92</v>
      </c>
      <c r="AM34" s="3">
        <v>88</v>
      </c>
      <c r="AN34" s="3">
        <v>88</v>
      </c>
      <c r="AR34" s="3">
        <v>85</v>
      </c>
      <c r="AS34" s="3">
        <v>85</v>
      </c>
      <c r="AT34" s="3">
        <v>80</v>
      </c>
      <c r="AU34" s="3">
        <v>82</v>
      </c>
      <c r="AV34" s="3">
        <v>86</v>
      </c>
      <c r="AW34" s="3">
        <v>85</v>
      </c>
      <c r="AZ34" s="3">
        <v>81</v>
      </c>
      <c r="BA34" s="3">
        <v>87</v>
      </c>
      <c r="BB34" s="3">
        <v>87</v>
      </c>
      <c r="BC34" s="3">
        <v>88</v>
      </c>
      <c r="BD34" s="3">
        <v>87</v>
      </c>
      <c r="BE34" s="3">
        <v>87</v>
      </c>
      <c r="BF34" s="3">
        <v>96</v>
      </c>
      <c r="BG34" s="3">
        <v>88</v>
      </c>
      <c r="BH34" s="3">
        <v>96</v>
      </c>
      <c r="BI34" s="3">
        <v>90</v>
      </c>
      <c r="BJ34" s="3">
        <v>82</v>
      </c>
      <c r="BK34" s="3">
        <v>86</v>
      </c>
      <c r="BL34" s="3">
        <v>87</v>
      </c>
      <c r="BM34" s="3">
        <v>90</v>
      </c>
      <c r="BN34" s="3">
        <v>93</v>
      </c>
      <c r="BO34" s="3">
        <v>92</v>
      </c>
      <c r="BP34" s="3">
        <v>87</v>
      </c>
      <c r="BQ34" s="3">
        <v>90</v>
      </c>
      <c r="BR34" s="15">
        <v>94</v>
      </c>
      <c r="BS34" s="3">
        <v>91</v>
      </c>
      <c r="BT34" s="3">
        <v>91</v>
      </c>
      <c r="BU34" s="3">
        <v>90</v>
      </c>
      <c r="BV34" s="3">
        <v>86</v>
      </c>
      <c r="BW34" s="3">
        <v>88</v>
      </c>
      <c r="BX34" s="3">
        <v>86</v>
      </c>
      <c r="BY34" s="3">
        <v>91</v>
      </c>
      <c r="BZ34" s="3">
        <v>85</v>
      </c>
      <c r="CA34" s="3">
        <v>87</v>
      </c>
      <c r="CB34" s="3">
        <v>85</v>
      </c>
      <c r="CC34" s="3">
        <v>87</v>
      </c>
      <c r="CD34" s="3">
        <v>85</v>
      </c>
      <c r="CE34" s="3">
        <v>82</v>
      </c>
      <c r="CF34" s="3">
        <v>85</v>
      </c>
      <c r="CG34" s="3">
        <v>87</v>
      </c>
      <c r="CH34" s="17" t="s">
        <v>1199</v>
      </c>
      <c r="CI34" s="17" t="s">
        <v>1166</v>
      </c>
      <c r="CJ34" s="17" t="s">
        <v>1167</v>
      </c>
      <c r="CK34" s="25" t="s">
        <v>1000</v>
      </c>
      <c r="CL34" s="17" t="s">
        <v>1033</v>
      </c>
      <c r="CM34" s="17" t="s">
        <v>1154</v>
      </c>
      <c r="CN34" s="17" t="s">
        <v>1200</v>
      </c>
      <c r="CO34" s="25" t="s">
        <v>1000</v>
      </c>
      <c r="CP34" s="17" t="s">
        <v>1084</v>
      </c>
      <c r="CQ34" s="17" t="s">
        <v>1085</v>
      </c>
      <c r="CR34" s="17" t="s">
        <v>1086</v>
      </c>
      <c r="CS34" s="298" t="s">
        <v>1000</v>
      </c>
      <c r="CT34" s="3">
        <v>89.3333333333333</v>
      </c>
      <c r="CU34" s="3">
        <v>85</v>
      </c>
      <c r="CV34" s="3">
        <v>85</v>
      </c>
      <c r="CW34" s="3">
        <v>83</v>
      </c>
      <c r="CX34" s="3">
        <v>84</v>
      </c>
      <c r="CY34" s="3">
        <v>90</v>
      </c>
      <c r="CZ34" s="13">
        <f t="shared" si="0"/>
        <v>86</v>
      </c>
      <c r="DA34" s="13">
        <f t="shared" si="1"/>
        <v>86.833333333333329</v>
      </c>
      <c r="DB34" s="13">
        <f t="shared" si="2"/>
        <v>87.333333333333329</v>
      </c>
      <c r="DC34" s="13">
        <f t="shared" si="3"/>
        <v>89.5</v>
      </c>
      <c r="DD34" s="13">
        <f t="shared" si="4"/>
        <v>88.333333333333329</v>
      </c>
      <c r="DE34" s="13">
        <f t="shared" si="5"/>
        <v>85</v>
      </c>
      <c r="DF34" s="13">
        <f t="shared" si="6"/>
        <v>83.25</v>
      </c>
      <c r="DG34" s="13">
        <f t="shared" si="7"/>
        <v>86</v>
      </c>
      <c r="DH34" s="13">
        <f t="shared" si="8"/>
        <v>87</v>
      </c>
      <c r="DI34" s="13">
        <f t="shared" si="9"/>
        <v>87.5</v>
      </c>
      <c r="DJ34" s="13">
        <f t="shared" si="10"/>
        <v>84</v>
      </c>
      <c r="DK34" s="13">
        <f t="shared" si="11"/>
        <v>92</v>
      </c>
      <c r="DL34" s="13">
        <f t="shared" si="12"/>
        <v>84</v>
      </c>
      <c r="DM34" s="13">
        <f t="shared" si="13"/>
        <v>93</v>
      </c>
      <c r="DN34" s="13">
        <f t="shared" si="14"/>
        <v>88.5</v>
      </c>
      <c r="DO34" s="13">
        <f t="shared" si="15"/>
        <v>91.5</v>
      </c>
      <c r="DP34" s="13">
        <f t="shared" si="16"/>
        <v>90.5</v>
      </c>
      <c r="DQ34" s="13">
        <f t="shared" si="17"/>
        <v>84.75</v>
      </c>
      <c r="DR34" s="13">
        <f t="shared" si="18"/>
        <v>86</v>
      </c>
      <c r="DS34">
        <f t="shared" si="19"/>
        <v>87.75</v>
      </c>
      <c r="DT34">
        <f t="shared" si="20"/>
        <v>87.333333333333329</v>
      </c>
      <c r="DU34">
        <f t="shared" si="21"/>
        <v>88</v>
      </c>
      <c r="DV34" s="31">
        <f t="shared" si="22"/>
        <v>87.157738095238102</v>
      </c>
    </row>
    <row r="35" spans="1:126">
      <c r="A35">
        <v>34</v>
      </c>
      <c r="B35">
        <f>'DATA US'!B48</f>
        <v>222310031</v>
      </c>
      <c r="C35" t="str">
        <f>'DATA US'!C48</f>
        <v>0064677701</v>
      </c>
      <c r="D35">
        <f>'DATA US'!B130</f>
        <v>222310111</v>
      </c>
      <c r="E35" t="str">
        <f>'DATA US'!C130</f>
        <v>0061201721</v>
      </c>
      <c r="F35" t="str">
        <f>'DATA US'!F130</f>
        <v>Bekasi</v>
      </c>
      <c r="G35" s="7" t="s">
        <v>706</v>
      </c>
      <c r="H35" t="str">
        <f>'DATA US'!D130</f>
        <v>ADITYA AL MUJAKI</v>
      </c>
      <c r="I35">
        <v>83</v>
      </c>
      <c r="J35">
        <v>83</v>
      </c>
      <c r="K35">
        <v>88</v>
      </c>
      <c r="L35">
        <v>86</v>
      </c>
      <c r="M35">
        <v>84</v>
      </c>
      <c r="N35">
        <v>84</v>
      </c>
      <c r="O35">
        <v>81</v>
      </c>
      <c r="P35">
        <v>84</v>
      </c>
      <c r="Q35">
        <v>84</v>
      </c>
      <c r="R35">
        <v>82</v>
      </c>
      <c r="S35">
        <v>84</v>
      </c>
      <c r="T35">
        <v>85</v>
      </c>
      <c r="U35">
        <v>79</v>
      </c>
      <c r="V35">
        <v>80</v>
      </c>
      <c r="W35">
        <v>89</v>
      </c>
      <c r="X35">
        <v>90</v>
      </c>
      <c r="Y35">
        <v>88</v>
      </c>
      <c r="Z35">
        <v>88</v>
      </c>
      <c r="AA35">
        <v>79</v>
      </c>
      <c r="AB35">
        <v>75</v>
      </c>
      <c r="AC35">
        <v>75</v>
      </c>
      <c r="AD35">
        <v>85</v>
      </c>
      <c r="AE35">
        <v>87</v>
      </c>
      <c r="AF35">
        <v>89</v>
      </c>
      <c r="AG35">
        <v>81</v>
      </c>
      <c r="AH35">
        <v>83</v>
      </c>
      <c r="AI35">
        <v>84</v>
      </c>
      <c r="AJ35">
        <v>84</v>
      </c>
      <c r="AK35">
        <v>85</v>
      </c>
      <c r="AL35">
        <v>89</v>
      </c>
      <c r="AM35">
        <v>83</v>
      </c>
      <c r="AN35">
        <v>85</v>
      </c>
      <c r="AR35">
        <v>82</v>
      </c>
      <c r="AS35">
        <v>81</v>
      </c>
      <c r="AT35">
        <v>80</v>
      </c>
      <c r="AU35">
        <v>82</v>
      </c>
      <c r="AV35">
        <v>86</v>
      </c>
      <c r="AW35">
        <v>85</v>
      </c>
      <c r="AZ35">
        <v>76</v>
      </c>
      <c r="BA35">
        <v>82</v>
      </c>
      <c r="BB35">
        <v>83</v>
      </c>
      <c r="BC35">
        <v>83</v>
      </c>
      <c r="BD35">
        <v>83</v>
      </c>
      <c r="BE35">
        <v>83</v>
      </c>
      <c r="BF35">
        <v>78</v>
      </c>
      <c r="BG35">
        <v>84</v>
      </c>
      <c r="BH35">
        <v>78</v>
      </c>
      <c r="BI35">
        <v>87</v>
      </c>
      <c r="BJ35">
        <v>76</v>
      </c>
      <c r="BK35">
        <v>81</v>
      </c>
      <c r="BL35">
        <v>83</v>
      </c>
      <c r="BM35">
        <v>86</v>
      </c>
      <c r="BN35">
        <v>81</v>
      </c>
      <c r="BO35">
        <v>80</v>
      </c>
      <c r="BP35">
        <v>84</v>
      </c>
      <c r="BQ35">
        <v>85</v>
      </c>
      <c r="BR35" s="13">
        <v>86</v>
      </c>
      <c r="BS35">
        <v>82</v>
      </c>
      <c r="BT35">
        <v>89</v>
      </c>
      <c r="BU35">
        <v>89</v>
      </c>
      <c r="BV35">
        <v>84</v>
      </c>
      <c r="BW35">
        <v>86</v>
      </c>
      <c r="BX35">
        <v>85</v>
      </c>
      <c r="BY35">
        <v>88</v>
      </c>
      <c r="BZ35">
        <v>83</v>
      </c>
      <c r="CA35">
        <v>85</v>
      </c>
      <c r="CB35">
        <v>80</v>
      </c>
      <c r="CC35">
        <v>85</v>
      </c>
      <c r="CD35">
        <v>83</v>
      </c>
      <c r="CE35">
        <v>82</v>
      </c>
      <c r="CF35">
        <v>82</v>
      </c>
      <c r="CG35">
        <v>85</v>
      </c>
      <c r="CH35" s="17" t="s">
        <v>993</v>
      </c>
      <c r="CI35" s="17" t="s">
        <v>994</v>
      </c>
      <c r="CJ35" s="17" t="s">
        <v>1201</v>
      </c>
      <c r="CK35" s="17" t="s">
        <v>996</v>
      </c>
      <c r="CO35" s="17"/>
      <c r="CT35">
        <v>88.3333333333333</v>
      </c>
      <c r="CU35">
        <v>84.6666666666667</v>
      </c>
      <c r="CV35">
        <v>85</v>
      </c>
      <c r="CW35">
        <v>85</v>
      </c>
      <c r="CX35" s="13">
        <v>83</v>
      </c>
      <c r="CY35">
        <v>88</v>
      </c>
      <c r="CZ35" s="13">
        <f t="shared" si="0"/>
        <v>84.666666666666671</v>
      </c>
      <c r="DA35" s="13">
        <f t="shared" si="1"/>
        <v>83.333333333333329</v>
      </c>
      <c r="DB35" s="13">
        <f t="shared" si="2"/>
        <v>81.666666666666671</v>
      </c>
      <c r="DC35" s="13">
        <f t="shared" si="3"/>
        <v>85.666666666666671</v>
      </c>
      <c r="DD35" s="13">
        <f t="shared" si="4"/>
        <v>84.333333333333329</v>
      </c>
      <c r="DE35" s="13">
        <f t="shared" si="5"/>
        <v>81.5</v>
      </c>
      <c r="DF35" s="13">
        <f t="shared" si="6"/>
        <v>83.25</v>
      </c>
      <c r="DG35" s="13">
        <f t="shared" si="7"/>
        <v>83.5</v>
      </c>
      <c r="DH35" s="13">
        <f t="shared" si="8"/>
        <v>83</v>
      </c>
      <c r="DI35" s="13">
        <f t="shared" si="9"/>
        <v>83</v>
      </c>
      <c r="DJ35" s="13">
        <f t="shared" si="10"/>
        <v>79</v>
      </c>
      <c r="DK35" s="13">
        <f t="shared" si="11"/>
        <v>81</v>
      </c>
      <c r="DL35" s="13">
        <f t="shared" si="12"/>
        <v>78.5</v>
      </c>
      <c r="DM35" s="13">
        <f t="shared" si="13"/>
        <v>82.5</v>
      </c>
      <c r="DN35" s="13">
        <f t="shared" si="14"/>
        <v>84.5</v>
      </c>
      <c r="DO35" s="13">
        <f t="shared" si="15"/>
        <v>86.5</v>
      </c>
      <c r="DP35" s="13">
        <f t="shared" si="16"/>
        <v>82.5</v>
      </c>
      <c r="DQ35" s="13">
        <f t="shared" si="17"/>
        <v>82.5</v>
      </c>
      <c r="DR35" s="13">
        <f t="shared" si="18"/>
        <v>84</v>
      </c>
      <c r="DS35">
        <f t="shared" si="19"/>
        <v>85.75</v>
      </c>
      <c r="DT35">
        <f t="shared" si="20"/>
        <v>81.666666666666671</v>
      </c>
      <c r="DU35">
        <f t="shared" si="21"/>
        <v>84</v>
      </c>
      <c r="DV35" s="31">
        <f t="shared" si="22"/>
        <v>83.583333333333329</v>
      </c>
    </row>
    <row r="36" spans="1:126">
      <c r="A36">
        <v>35</v>
      </c>
      <c r="B36">
        <f>'DATA US'!B49</f>
        <v>222310032</v>
      </c>
      <c r="C36" t="str">
        <f>'DATA US'!C49</f>
        <v>0076929544</v>
      </c>
      <c r="D36">
        <f>'DATA US'!B131</f>
        <v>222310113</v>
      </c>
      <c r="E36" t="str">
        <f>'DATA US'!C131</f>
        <v>0073563861</v>
      </c>
      <c r="F36" t="str">
        <f>'DATA US'!F131</f>
        <v>Bekasi</v>
      </c>
      <c r="G36" s="7" t="s">
        <v>712</v>
      </c>
      <c r="H36" t="str">
        <f>'DATA US'!D131</f>
        <v>AMELIA</v>
      </c>
      <c r="I36">
        <v>81</v>
      </c>
      <c r="J36">
        <v>78</v>
      </c>
      <c r="K36">
        <v>84</v>
      </c>
      <c r="L36">
        <v>85</v>
      </c>
      <c r="M36">
        <v>81</v>
      </c>
      <c r="N36">
        <v>82</v>
      </c>
      <c r="O36">
        <v>81</v>
      </c>
      <c r="P36">
        <v>84</v>
      </c>
      <c r="Q36">
        <v>82</v>
      </c>
      <c r="R36">
        <v>83</v>
      </c>
      <c r="S36">
        <v>84</v>
      </c>
      <c r="T36">
        <v>85</v>
      </c>
      <c r="U36">
        <v>81</v>
      </c>
      <c r="V36">
        <v>81</v>
      </c>
      <c r="W36">
        <v>82</v>
      </c>
      <c r="X36">
        <v>86</v>
      </c>
      <c r="Y36">
        <v>82</v>
      </c>
      <c r="Z36">
        <v>82</v>
      </c>
      <c r="AA36">
        <v>75</v>
      </c>
      <c r="AB36">
        <v>75</v>
      </c>
      <c r="AC36">
        <v>75</v>
      </c>
      <c r="AD36">
        <v>85</v>
      </c>
      <c r="AE36">
        <v>87</v>
      </c>
      <c r="AF36">
        <v>85</v>
      </c>
      <c r="AG36">
        <v>82</v>
      </c>
      <c r="AH36">
        <v>78</v>
      </c>
      <c r="AI36">
        <v>86</v>
      </c>
      <c r="AJ36">
        <v>84</v>
      </c>
      <c r="AK36">
        <v>92</v>
      </c>
      <c r="AL36">
        <v>90</v>
      </c>
      <c r="AM36">
        <v>84</v>
      </c>
      <c r="AN36">
        <v>85</v>
      </c>
      <c r="AR36">
        <v>81</v>
      </c>
      <c r="AS36">
        <v>80</v>
      </c>
      <c r="AT36">
        <v>80</v>
      </c>
      <c r="AU36">
        <v>82</v>
      </c>
      <c r="AV36">
        <v>88</v>
      </c>
      <c r="AW36">
        <v>84</v>
      </c>
      <c r="AZ36">
        <v>76</v>
      </c>
      <c r="BA36">
        <v>83</v>
      </c>
      <c r="BB36">
        <v>80</v>
      </c>
      <c r="BC36">
        <v>84</v>
      </c>
      <c r="BD36">
        <v>81</v>
      </c>
      <c r="BE36">
        <v>81</v>
      </c>
      <c r="BF36">
        <v>85</v>
      </c>
      <c r="BG36">
        <v>83</v>
      </c>
      <c r="BH36">
        <v>85</v>
      </c>
      <c r="BI36">
        <v>88</v>
      </c>
      <c r="BJ36">
        <v>77</v>
      </c>
      <c r="BK36">
        <v>80</v>
      </c>
      <c r="BL36">
        <v>81</v>
      </c>
      <c r="BM36">
        <v>83</v>
      </c>
      <c r="BN36">
        <v>80</v>
      </c>
      <c r="BO36">
        <v>80</v>
      </c>
      <c r="BP36">
        <v>84</v>
      </c>
      <c r="BQ36">
        <v>85</v>
      </c>
      <c r="BR36" s="13">
        <v>83</v>
      </c>
      <c r="BS36">
        <v>85</v>
      </c>
      <c r="BT36">
        <v>87</v>
      </c>
      <c r="BU36">
        <v>87</v>
      </c>
      <c r="BV36">
        <v>81</v>
      </c>
      <c r="BW36">
        <v>85</v>
      </c>
      <c r="BX36">
        <v>85</v>
      </c>
      <c r="BY36">
        <v>88</v>
      </c>
      <c r="BZ36">
        <v>82</v>
      </c>
      <c r="CA36">
        <v>84</v>
      </c>
      <c r="CB36">
        <v>82</v>
      </c>
      <c r="CC36">
        <v>82</v>
      </c>
      <c r="CD36">
        <v>83</v>
      </c>
      <c r="CE36">
        <v>82</v>
      </c>
      <c r="CF36">
        <v>81</v>
      </c>
      <c r="CG36">
        <v>85</v>
      </c>
      <c r="CH36" s="304" t="s">
        <v>1202</v>
      </c>
      <c r="CI36" s="17" t="s">
        <v>1203</v>
      </c>
      <c r="CJ36" s="17" t="s">
        <v>1204</v>
      </c>
      <c r="CK36" s="25" t="s">
        <v>1000</v>
      </c>
      <c r="CL36" s="17" t="s">
        <v>1205</v>
      </c>
      <c r="CM36" s="17" t="s">
        <v>1206</v>
      </c>
      <c r="CN36" s="17" t="s">
        <v>1207</v>
      </c>
      <c r="CO36" s="25" t="s">
        <v>1000</v>
      </c>
      <c r="CT36">
        <v>90</v>
      </c>
      <c r="CU36">
        <v>84.6666666666667</v>
      </c>
      <c r="CV36">
        <v>85</v>
      </c>
      <c r="CW36">
        <v>84</v>
      </c>
      <c r="CX36" s="13">
        <v>86.5</v>
      </c>
      <c r="CY36">
        <v>88</v>
      </c>
      <c r="CZ36" s="13">
        <f t="shared" si="0"/>
        <v>81.833333333333329</v>
      </c>
      <c r="DA36" s="13">
        <f t="shared" si="1"/>
        <v>83.166666666666671</v>
      </c>
      <c r="DB36" s="13">
        <f t="shared" si="2"/>
        <v>80.333333333333329</v>
      </c>
      <c r="DC36" s="13">
        <f t="shared" si="3"/>
        <v>82.333333333333329</v>
      </c>
      <c r="DD36" s="13">
        <f t="shared" si="4"/>
        <v>85.333333333333329</v>
      </c>
      <c r="DE36" s="13">
        <f t="shared" si="5"/>
        <v>80.5</v>
      </c>
      <c r="DF36" s="13">
        <f t="shared" si="6"/>
        <v>83.5</v>
      </c>
      <c r="DG36" s="13">
        <f t="shared" si="7"/>
        <v>83</v>
      </c>
      <c r="DH36" s="13">
        <f t="shared" si="8"/>
        <v>81</v>
      </c>
      <c r="DI36" s="13">
        <f t="shared" si="9"/>
        <v>82</v>
      </c>
      <c r="DJ36" s="13">
        <f t="shared" si="10"/>
        <v>79.5</v>
      </c>
      <c r="DK36" s="13">
        <f t="shared" si="11"/>
        <v>84</v>
      </c>
      <c r="DL36" s="13">
        <f t="shared" si="12"/>
        <v>78.5</v>
      </c>
      <c r="DM36" s="13">
        <f t="shared" si="13"/>
        <v>86.5</v>
      </c>
      <c r="DN36" s="13">
        <f t="shared" si="14"/>
        <v>82</v>
      </c>
      <c r="DO36" s="13">
        <f t="shared" si="15"/>
        <v>85.5</v>
      </c>
      <c r="DP36" s="13">
        <f t="shared" si="16"/>
        <v>82.25</v>
      </c>
      <c r="DQ36" s="13">
        <f t="shared" si="17"/>
        <v>82.25</v>
      </c>
      <c r="DR36" s="13">
        <f t="shared" si="18"/>
        <v>83</v>
      </c>
      <c r="DS36">
        <f t="shared" si="19"/>
        <v>84.75</v>
      </c>
      <c r="DT36">
        <f t="shared" si="20"/>
        <v>80.333333333333329</v>
      </c>
      <c r="DU36">
        <f t="shared" si="21"/>
        <v>84.5</v>
      </c>
      <c r="DV36" s="31">
        <f t="shared" si="22"/>
        <v>83.366071428571445</v>
      </c>
    </row>
    <row r="37" spans="1:126">
      <c r="A37">
        <v>36</v>
      </c>
      <c r="B37">
        <f>'DATA US'!B50</f>
        <v>222310033</v>
      </c>
      <c r="C37" t="str">
        <f>'DATA US'!C50</f>
        <v>0061065498</v>
      </c>
      <c r="D37">
        <f>'DATA US'!B132</f>
        <v>222310114</v>
      </c>
      <c r="E37" t="str">
        <f>'DATA US'!C132</f>
        <v>0072459941</v>
      </c>
      <c r="F37" t="str">
        <f>'DATA US'!F132</f>
        <v>Bekasi</v>
      </c>
      <c r="G37" s="7" t="s">
        <v>717</v>
      </c>
      <c r="H37" t="str">
        <f>'DATA US'!D132</f>
        <v>AQILA QEISHA RAHMADANI</v>
      </c>
      <c r="I37">
        <v>82</v>
      </c>
      <c r="J37">
        <v>80</v>
      </c>
      <c r="K37">
        <v>83</v>
      </c>
      <c r="L37">
        <v>85</v>
      </c>
      <c r="M37">
        <v>84</v>
      </c>
      <c r="N37">
        <v>84</v>
      </c>
      <c r="O37">
        <v>82</v>
      </c>
      <c r="P37">
        <v>84</v>
      </c>
      <c r="Q37">
        <v>82</v>
      </c>
      <c r="R37">
        <v>83</v>
      </c>
      <c r="S37">
        <v>84</v>
      </c>
      <c r="T37">
        <v>85</v>
      </c>
      <c r="U37">
        <v>79</v>
      </c>
      <c r="V37">
        <v>84</v>
      </c>
      <c r="W37">
        <v>83</v>
      </c>
      <c r="X37">
        <v>86</v>
      </c>
      <c r="Y37">
        <v>83</v>
      </c>
      <c r="Z37">
        <v>83</v>
      </c>
      <c r="AA37">
        <v>75</v>
      </c>
      <c r="AB37">
        <v>75</v>
      </c>
      <c r="AC37">
        <v>75</v>
      </c>
      <c r="AD37">
        <v>83</v>
      </c>
      <c r="AE37">
        <v>84</v>
      </c>
      <c r="AF37">
        <v>84</v>
      </c>
      <c r="AG37">
        <v>79</v>
      </c>
      <c r="AH37">
        <v>80</v>
      </c>
      <c r="AI37">
        <v>87</v>
      </c>
      <c r="AJ37">
        <v>84</v>
      </c>
      <c r="AK37">
        <v>90</v>
      </c>
      <c r="AL37">
        <v>90</v>
      </c>
      <c r="AM37">
        <v>84</v>
      </c>
      <c r="AN37">
        <v>86</v>
      </c>
      <c r="AR37">
        <v>82</v>
      </c>
      <c r="AS37">
        <v>81</v>
      </c>
      <c r="AT37">
        <v>80</v>
      </c>
      <c r="AU37">
        <v>82</v>
      </c>
      <c r="AV37">
        <v>90</v>
      </c>
      <c r="AW37">
        <v>84</v>
      </c>
      <c r="AZ37">
        <v>75</v>
      </c>
      <c r="BA37">
        <v>83</v>
      </c>
      <c r="BB37">
        <v>81</v>
      </c>
      <c r="BC37">
        <v>82</v>
      </c>
      <c r="BD37">
        <v>81</v>
      </c>
      <c r="BE37">
        <v>81</v>
      </c>
      <c r="BF37">
        <v>85</v>
      </c>
      <c r="BG37">
        <v>85</v>
      </c>
      <c r="BH37">
        <v>85</v>
      </c>
      <c r="BI37">
        <v>90</v>
      </c>
      <c r="BJ37">
        <v>77</v>
      </c>
      <c r="BK37">
        <v>81</v>
      </c>
      <c r="BL37">
        <v>82</v>
      </c>
      <c r="BM37">
        <v>85</v>
      </c>
      <c r="BN37">
        <v>81</v>
      </c>
      <c r="BO37">
        <v>80</v>
      </c>
      <c r="BP37">
        <v>84</v>
      </c>
      <c r="BQ37">
        <v>85</v>
      </c>
      <c r="BR37" s="13">
        <v>85</v>
      </c>
      <c r="BS37">
        <v>88</v>
      </c>
      <c r="BT37">
        <v>90</v>
      </c>
      <c r="BU37">
        <v>88</v>
      </c>
      <c r="BV37">
        <v>81</v>
      </c>
      <c r="BW37">
        <v>87</v>
      </c>
      <c r="BX37">
        <v>84</v>
      </c>
      <c r="BY37">
        <v>91</v>
      </c>
      <c r="BZ37">
        <v>82</v>
      </c>
      <c r="CA37">
        <v>84</v>
      </c>
      <c r="CB37">
        <v>80</v>
      </c>
      <c r="CC37">
        <v>81</v>
      </c>
      <c r="CD37">
        <v>83</v>
      </c>
      <c r="CE37">
        <v>82</v>
      </c>
      <c r="CF37">
        <v>84</v>
      </c>
      <c r="CG37">
        <v>86</v>
      </c>
      <c r="CH37" s="17" t="s">
        <v>1144</v>
      </c>
      <c r="CI37" s="17" t="s">
        <v>1145</v>
      </c>
      <c r="CJ37" s="17" t="s">
        <v>1208</v>
      </c>
      <c r="CK37" s="25" t="s">
        <v>996</v>
      </c>
      <c r="CL37" s="17"/>
      <c r="CM37" s="17"/>
      <c r="CN37" s="17"/>
      <c r="CO37" s="25"/>
      <c r="CT37">
        <v>90.6666666666667</v>
      </c>
      <c r="CU37">
        <v>86</v>
      </c>
      <c r="CV37">
        <v>97</v>
      </c>
      <c r="CW37">
        <v>84</v>
      </c>
      <c r="CX37" s="13">
        <v>83.5</v>
      </c>
      <c r="CY37">
        <v>85</v>
      </c>
      <c r="CZ37" s="13">
        <f t="shared" si="0"/>
        <v>83</v>
      </c>
      <c r="DA37" s="13">
        <f t="shared" si="1"/>
        <v>83.333333333333329</v>
      </c>
      <c r="DB37" s="13">
        <f t="shared" si="2"/>
        <v>79.333333333333329</v>
      </c>
      <c r="DC37" s="13">
        <f t="shared" si="3"/>
        <v>83</v>
      </c>
      <c r="DD37" s="13">
        <f t="shared" si="4"/>
        <v>85</v>
      </c>
      <c r="DE37" s="13">
        <f t="shared" si="5"/>
        <v>81.5</v>
      </c>
      <c r="DF37" s="13">
        <f t="shared" si="6"/>
        <v>84</v>
      </c>
      <c r="DG37" s="13">
        <f t="shared" si="7"/>
        <v>85</v>
      </c>
      <c r="DH37" s="13">
        <f t="shared" si="8"/>
        <v>81</v>
      </c>
      <c r="DI37" s="13">
        <f t="shared" si="9"/>
        <v>81.5</v>
      </c>
      <c r="DJ37" s="13">
        <f t="shared" si="10"/>
        <v>79</v>
      </c>
      <c r="DK37" s="13">
        <f t="shared" si="11"/>
        <v>85</v>
      </c>
      <c r="DL37" s="13">
        <f t="shared" si="12"/>
        <v>79</v>
      </c>
      <c r="DM37" s="13">
        <f t="shared" si="13"/>
        <v>87.5</v>
      </c>
      <c r="DN37" s="13">
        <f t="shared" si="14"/>
        <v>83.5</v>
      </c>
      <c r="DO37" s="13">
        <f t="shared" si="15"/>
        <v>87.75</v>
      </c>
      <c r="DP37" s="13">
        <f t="shared" si="16"/>
        <v>82.5</v>
      </c>
      <c r="DQ37" s="13">
        <f t="shared" si="17"/>
        <v>81.5</v>
      </c>
      <c r="DR37" s="13">
        <f t="shared" si="18"/>
        <v>83</v>
      </c>
      <c r="DS37">
        <f t="shared" si="19"/>
        <v>85.75</v>
      </c>
      <c r="DT37">
        <f t="shared" si="20"/>
        <v>79.333333333333329</v>
      </c>
      <c r="DU37">
        <f t="shared" si="21"/>
        <v>85</v>
      </c>
      <c r="DV37" s="31">
        <f t="shared" si="22"/>
        <v>83.988095238095255</v>
      </c>
    </row>
    <row r="38" spans="1:126">
      <c r="A38">
        <v>37</v>
      </c>
      <c r="B38">
        <f>'DATA US'!B51</f>
        <v>222310034</v>
      </c>
      <c r="C38" t="str">
        <f>'DATA US'!C51</f>
        <v>0077550363</v>
      </c>
      <c r="D38">
        <f>'DATA US'!B133</f>
        <v>222310115</v>
      </c>
      <c r="E38" t="str">
        <f>'DATA US'!C133</f>
        <v>0064002542</v>
      </c>
      <c r="F38" t="str">
        <f>'DATA US'!F133</f>
        <v>Bekasi</v>
      </c>
      <c r="G38" s="7" t="s">
        <v>722</v>
      </c>
      <c r="H38" t="str">
        <f>'DATA US'!D133</f>
        <v>AYU PUTRI NEGARI</v>
      </c>
      <c r="I38">
        <v>82</v>
      </c>
      <c r="J38">
        <v>78</v>
      </c>
      <c r="K38">
        <v>86</v>
      </c>
      <c r="L38">
        <v>88</v>
      </c>
      <c r="M38">
        <v>81</v>
      </c>
      <c r="N38">
        <v>82</v>
      </c>
      <c r="O38">
        <v>83</v>
      </c>
      <c r="P38">
        <v>84</v>
      </c>
      <c r="Q38">
        <v>82</v>
      </c>
      <c r="R38">
        <v>83</v>
      </c>
      <c r="S38">
        <v>84</v>
      </c>
      <c r="T38">
        <v>85</v>
      </c>
      <c r="U38">
        <v>79</v>
      </c>
      <c r="V38">
        <v>80</v>
      </c>
      <c r="W38">
        <v>86</v>
      </c>
      <c r="X38">
        <v>87</v>
      </c>
      <c r="Y38">
        <v>85</v>
      </c>
      <c r="Z38">
        <v>86</v>
      </c>
      <c r="AA38">
        <v>76</v>
      </c>
      <c r="AB38">
        <v>75</v>
      </c>
      <c r="AC38">
        <v>75</v>
      </c>
      <c r="AD38">
        <v>85</v>
      </c>
      <c r="AE38">
        <v>86</v>
      </c>
      <c r="AF38">
        <v>88</v>
      </c>
      <c r="AG38">
        <v>82</v>
      </c>
      <c r="AH38">
        <v>78</v>
      </c>
      <c r="AI38">
        <v>85</v>
      </c>
      <c r="AJ38">
        <v>86</v>
      </c>
      <c r="AK38">
        <v>88</v>
      </c>
      <c r="AL38">
        <v>90</v>
      </c>
      <c r="AM38">
        <v>83</v>
      </c>
      <c r="AN38">
        <v>86</v>
      </c>
      <c r="AR38">
        <v>81</v>
      </c>
      <c r="AS38">
        <v>81</v>
      </c>
      <c r="AT38">
        <v>81</v>
      </c>
      <c r="AU38">
        <v>82</v>
      </c>
      <c r="AV38">
        <v>90</v>
      </c>
      <c r="AW38">
        <v>82</v>
      </c>
      <c r="AZ38">
        <v>75</v>
      </c>
      <c r="BA38">
        <v>84</v>
      </c>
      <c r="BB38">
        <v>81</v>
      </c>
      <c r="BC38">
        <v>82</v>
      </c>
      <c r="BD38">
        <v>81</v>
      </c>
      <c r="BE38">
        <v>81</v>
      </c>
      <c r="BF38">
        <v>84</v>
      </c>
      <c r="BG38">
        <v>86</v>
      </c>
      <c r="BH38">
        <v>84</v>
      </c>
      <c r="BI38">
        <v>88</v>
      </c>
      <c r="BJ38">
        <v>79</v>
      </c>
      <c r="BK38">
        <v>82</v>
      </c>
      <c r="BL38">
        <v>80</v>
      </c>
      <c r="BM38">
        <v>83</v>
      </c>
      <c r="BN38">
        <v>83</v>
      </c>
      <c r="BO38">
        <v>83</v>
      </c>
      <c r="BP38">
        <v>84</v>
      </c>
      <c r="BQ38">
        <v>85</v>
      </c>
      <c r="BR38" s="13">
        <v>86</v>
      </c>
      <c r="BS38">
        <v>88</v>
      </c>
      <c r="BT38">
        <v>88</v>
      </c>
      <c r="BU38">
        <v>88</v>
      </c>
      <c r="BV38">
        <v>79</v>
      </c>
      <c r="BW38">
        <v>84</v>
      </c>
      <c r="BX38">
        <v>85</v>
      </c>
      <c r="BY38">
        <v>89</v>
      </c>
      <c r="BZ38">
        <v>82</v>
      </c>
      <c r="CA38">
        <v>84</v>
      </c>
      <c r="CB38">
        <v>80</v>
      </c>
      <c r="CC38">
        <v>83</v>
      </c>
      <c r="CD38">
        <v>83</v>
      </c>
      <c r="CE38">
        <v>82</v>
      </c>
      <c r="CF38">
        <v>83</v>
      </c>
      <c r="CG38">
        <v>85</v>
      </c>
      <c r="CH38" s="17" t="s">
        <v>1144</v>
      </c>
      <c r="CI38" s="17" t="s">
        <v>1145</v>
      </c>
      <c r="CJ38" s="17" t="s">
        <v>1208</v>
      </c>
      <c r="CK38" s="28" t="s">
        <v>1000</v>
      </c>
      <c r="CL38" s="17" t="s">
        <v>1202</v>
      </c>
      <c r="CM38" s="17" t="s">
        <v>1203</v>
      </c>
      <c r="CN38" s="17" t="s">
        <v>1209</v>
      </c>
      <c r="CO38" s="28" t="s">
        <v>1000</v>
      </c>
      <c r="CP38" s="32"/>
      <c r="CQ38" s="32"/>
      <c r="CR38" s="32"/>
      <c r="CS38" s="32"/>
      <c r="CT38">
        <v>89</v>
      </c>
      <c r="CU38">
        <v>84.6666666666667</v>
      </c>
      <c r="CV38">
        <v>93</v>
      </c>
      <c r="CW38">
        <v>84</v>
      </c>
      <c r="CX38" s="13">
        <v>83.5</v>
      </c>
      <c r="CY38">
        <v>85</v>
      </c>
      <c r="CZ38" s="13">
        <f t="shared" si="0"/>
        <v>82.833333333333329</v>
      </c>
      <c r="DA38" s="13">
        <f t="shared" si="1"/>
        <v>83.5</v>
      </c>
      <c r="DB38" s="13">
        <f t="shared" si="2"/>
        <v>80.833333333333329</v>
      </c>
      <c r="DC38" s="13">
        <f t="shared" si="3"/>
        <v>83.833333333333329</v>
      </c>
      <c r="DD38" s="13">
        <f t="shared" si="4"/>
        <v>84.833333333333329</v>
      </c>
      <c r="DE38" s="13">
        <f t="shared" si="5"/>
        <v>81</v>
      </c>
      <c r="DF38" s="13">
        <f t="shared" si="6"/>
        <v>83.75</v>
      </c>
      <c r="DG38" s="13">
        <f t="shared" si="7"/>
        <v>84</v>
      </c>
      <c r="DH38" s="13">
        <f t="shared" si="8"/>
        <v>81</v>
      </c>
      <c r="DI38" s="13">
        <f t="shared" si="9"/>
        <v>81.5</v>
      </c>
      <c r="DJ38" s="13">
        <f t="shared" si="10"/>
        <v>79.5</v>
      </c>
      <c r="DK38" s="13">
        <f t="shared" si="11"/>
        <v>85</v>
      </c>
      <c r="DL38" s="13">
        <f t="shared" si="12"/>
        <v>80.5</v>
      </c>
      <c r="DM38" s="13">
        <f t="shared" si="13"/>
        <v>86</v>
      </c>
      <c r="DN38" s="13">
        <f t="shared" si="14"/>
        <v>81.5</v>
      </c>
      <c r="DO38" s="13">
        <f t="shared" si="15"/>
        <v>87.5</v>
      </c>
      <c r="DP38" s="13">
        <f t="shared" si="16"/>
        <v>83.75</v>
      </c>
      <c r="DQ38" s="13">
        <f t="shared" si="17"/>
        <v>82</v>
      </c>
      <c r="DR38" s="13">
        <f t="shared" si="18"/>
        <v>83</v>
      </c>
      <c r="DS38">
        <f t="shared" si="19"/>
        <v>84.25</v>
      </c>
      <c r="DT38">
        <f t="shared" si="20"/>
        <v>80.833333333333329</v>
      </c>
      <c r="DU38">
        <f t="shared" si="21"/>
        <v>84.5</v>
      </c>
      <c r="DV38" s="31">
        <f t="shared" si="22"/>
        <v>83.735119047619051</v>
      </c>
    </row>
    <row r="39" spans="1:126">
      <c r="A39">
        <v>38</v>
      </c>
      <c r="B39">
        <f>'DATA US'!B52</f>
        <v>222310035</v>
      </c>
      <c r="C39" t="str">
        <f>'DATA US'!C52</f>
        <v>0074682824</v>
      </c>
      <c r="D39">
        <f>'DATA US'!B134</f>
        <v>222310116</v>
      </c>
      <c r="E39" t="str">
        <f>'DATA US'!C134</f>
        <v>0073240741</v>
      </c>
      <c r="F39" t="str">
        <f>'DATA US'!F134</f>
        <v>Bekasi</v>
      </c>
      <c r="G39" s="7" t="s">
        <v>728</v>
      </c>
      <c r="H39" t="str">
        <f>'DATA US'!D134</f>
        <v>DAFA ADITYA PUTRA</v>
      </c>
      <c r="I39">
        <v>82</v>
      </c>
      <c r="J39">
        <v>83</v>
      </c>
      <c r="K39">
        <v>91</v>
      </c>
      <c r="L39">
        <v>91</v>
      </c>
      <c r="M39">
        <v>82</v>
      </c>
      <c r="N39">
        <v>82</v>
      </c>
      <c r="O39">
        <v>83</v>
      </c>
      <c r="P39">
        <v>87</v>
      </c>
      <c r="Q39">
        <v>86</v>
      </c>
      <c r="R39">
        <v>86</v>
      </c>
      <c r="S39">
        <v>85</v>
      </c>
      <c r="T39">
        <v>86</v>
      </c>
      <c r="U39">
        <v>80</v>
      </c>
      <c r="V39">
        <v>84</v>
      </c>
      <c r="W39">
        <v>95</v>
      </c>
      <c r="X39">
        <v>94</v>
      </c>
      <c r="Y39">
        <v>90</v>
      </c>
      <c r="Z39">
        <v>90</v>
      </c>
      <c r="AA39">
        <v>85</v>
      </c>
      <c r="AB39">
        <v>88</v>
      </c>
      <c r="AC39">
        <v>88</v>
      </c>
      <c r="AD39">
        <v>90</v>
      </c>
      <c r="AE39">
        <v>88</v>
      </c>
      <c r="AF39">
        <v>90</v>
      </c>
      <c r="AG39">
        <v>85</v>
      </c>
      <c r="AH39">
        <v>83</v>
      </c>
      <c r="AI39">
        <v>85</v>
      </c>
      <c r="AJ39">
        <v>87</v>
      </c>
      <c r="AK39">
        <v>89</v>
      </c>
      <c r="AL39">
        <v>88</v>
      </c>
      <c r="AM39">
        <v>86</v>
      </c>
      <c r="AN39">
        <v>89</v>
      </c>
      <c r="AR39">
        <v>82</v>
      </c>
      <c r="AS39">
        <v>83</v>
      </c>
      <c r="AT39">
        <v>81</v>
      </c>
      <c r="AU39">
        <v>81</v>
      </c>
      <c r="AV39">
        <v>86</v>
      </c>
      <c r="AW39">
        <v>86</v>
      </c>
      <c r="AZ39">
        <v>78</v>
      </c>
      <c r="BA39">
        <v>83</v>
      </c>
      <c r="BB39">
        <v>82</v>
      </c>
      <c r="BC39">
        <v>83</v>
      </c>
      <c r="BD39">
        <v>83</v>
      </c>
      <c r="BE39">
        <v>83</v>
      </c>
      <c r="BF39">
        <v>93</v>
      </c>
      <c r="BG39">
        <v>88</v>
      </c>
      <c r="BH39">
        <v>93</v>
      </c>
      <c r="BI39">
        <v>91</v>
      </c>
      <c r="BJ39">
        <v>80</v>
      </c>
      <c r="BK39">
        <v>83</v>
      </c>
      <c r="BL39">
        <v>86</v>
      </c>
      <c r="BM39">
        <v>88</v>
      </c>
      <c r="BN39">
        <v>89</v>
      </c>
      <c r="BO39">
        <v>88</v>
      </c>
      <c r="BP39">
        <v>84</v>
      </c>
      <c r="BQ39">
        <v>85</v>
      </c>
      <c r="BR39" s="13">
        <v>91</v>
      </c>
      <c r="BS39">
        <v>92</v>
      </c>
      <c r="BT39">
        <v>90</v>
      </c>
      <c r="BU39">
        <v>90</v>
      </c>
      <c r="BV39">
        <v>81</v>
      </c>
      <c r="BW39">
        <v>84</v>
      </c>
      <c r="BX39">
        <v>86</v>
      </c>
      <c r="BY39">
        <v>90</v>
      </c>
      <c r="BZ39">
        <v>83</v>
      </c>
      <c r="CA39">
        <v>84</v>
      </c>
      <c r="CB39">
        <v>82</v>
      </c>
      <c r="CC39">
        <v>87</v>
      </c>
      <c r="CD39">
        <v>85</v>
      </c>
      <c r="CE39">
        <v>82</v>
      </c>
      <c r="CF39">
        <v>82</v>
      </c>
      <c r="CG39">
        <v>87</v>
      </c>
      <c r="CH39" s="43" t="s">
        <v>1202</v>
      </c>
      <c r="CI39" s="17" t="s">
        <v>1203</v>
      </c>
      <c r="CJ39" s="17" t="s">
        <v>1209</v>
      </c>
      <c r="CK39" s="29" t="s">
        <v>1000</v>
      </c>
      <c r="CL39" s="17" t="s">
        <v>1033</v>
      </c>
      <c r="CM39" s="17" t="s">
        <v>1154</v>
      </c>
      <c r="CN39" s="17" t="s">
        <v>1210</v>
      </c>
      <c r="CO39" s="29" t="s">
        <v>1000</v>
      </c>
      <c r="CT39">
        <v>90.6666666666667</v>
      </c>
      <c r="CU39">
        <v>85.3333333333333</v>
      </c>
      <c r="CV39">
        <v>90</v>
      </c>
      <c r="CW39">
        <v>85</v>
      </c>
      <c r="CX39" s="13">
        <v>83.5</v>
      </c>
      <c r="CY39">
        <v>90</v>
      </c>
      <c r="CZ39" s="13">
        <f t="shared" si="0"/>
        <v>85.166666666666671</v>
      </c>
      <c r="DA39" s="13">
        <f t="shared" si="1"/>
        <v>85.5</v>
      </c>
      <c r="DB39" s="13">
        <f t="shared" si="2"/>
        <v>88.166666666666671</v>
      </c>
      <c r="DC39" s="13">
        <f t="shared" si="3"/>
        <v>88.833333333333329</v>
      </c>
      <c r="DD39" s="13">
        <f t="shared" si="4"/>
        <v>86.166666666666671</v>
      </c>
      <c r="DE39" s="13">
        <f t="shared" si="5"/>
        <v>82.5</v>
      </c>
      <c r="DF39" s="13">
        <f t="shared" si="6"/>
        <v>83.5</v>
      </c>
      <c r="DG39" s="13">
        <f t="shared" si="7"/>
        <v>84.5</v>
      </c>
      <c r="DH39" s="13">
        <f t="shared" si="8"/>
        <v>83</v>
      </c>
      <c r="DI39" s="13">
        <f t="shared" si="9"/>
        <v>82.5</v>
      </c>
      <c r="DJ39" s="13">
        <f t="shared" si="10"/>
        <v>80.5</v>
      </c>
      <c r="DK39" s="13">
        <f t="shared" si="11"/>
        <v>90.5</v>
      </c>
      <c r="DL39" s="13">
        <f t="shared" si="12"/>
        <v>81.5</v>
      </c>
      <c r="DM39" s="13">
        <f t="shared" si="13"/>
        <v>92</v>
      </c>
      <c r="DN39" s="13">
        <f t="shared" si="14"/>
        <v>87</v>
      </c>
      <c r="DO39" s="13">
        <f t="shared" si="15"/>
        <v>90.75</v>
      </c>
      <c r="DP39" s="13">
        <f t="shared" si="16"/>
        <v>86.5</v>
      </c>
      <c r="DQ39" s="13">
        <f t="shared" si="17"/>
        <v>84</v>
      </c>
      <c r="DR39" s="13">
        <f t="shared" si="18"/>
        <v>83.5</v>
      </c>
      <c r="DS39">
        <f t="shared" si="19"/>
        <v>85.25</v>
      </c>
      <c r="DT39">
        <f t="shared" si="20"/>
        <v>88.166666666666671</v>
      </c>
      <c r="DU39">
        <f t="shared" si="21"/>
        <v>87.5</v>
      </c>
      <c r="DV39" s="31">
        <f t="shared" si="22"/>
        <v>86.124999999999986</v>
      </c>
    </row>
    <row r="40" spans="1:126">
      <c r="A40">
        <v>39</v>
      </c>
      <c r="B40">
        <f>'DATA US'!B53</f>
        <v>222310036</v>
      </c>
      <c r="C40" t="str">
        <f>'DATA US'!C53</f>
        <v>0075646043</v>
      </c>
      <c r="D40">
        <f>'DATA US'!B135</f>
        <v>222310117</v>
      </c>
      <c r="E40" t="str">
        <f>'DATA US'!C135</f>
        <v>0074172506</v>
      </c>
      <c r="F40" t="str">
        <f>'DATA US'!F135</f>
        <v>Subang</v>
      </c>
      <c r="G40" s="7" t="s">
        <v>633</v>
      </c>
      <c r="H40" t="str">
        <f>'DATA US'!D135</f>
        <v>ECY LAURA CITRA</v>
      </c>
      <c r="I40">
        <v>81</v>
      </c>
      <c r="J40">
        <v>78</v>
      </c>
      <c r="K40">
        <v>88</v>
      </c>
      <c r="L40">
        <v>85</v>
      </c>
      <c r="M40">
        <v>83</v>
      </c>
      <c r="N40">
        <v>84</v>
      </c>
      <c r="O40">
        <v>81</v>
      </c>
      <c r="P40">
        <v>83</v>
      </c>
      <c r="Q40">
        <v>81</v>
      </c>
      <c r="R40">
        <v>83</v>
      </c>
      <c r="S40">
        <v>83</v>
      </c>
      <c r="T40">
        <v>85</v>
      </c>
      <c r="U40">
        <v>80</v>
      </c>
      <c r="V40">
        <v>80</v>
      </c>
      <c r="W40">
        <v>88</v>
      </c>
      <c r="X40">
        <v>89</v>
      </c>
      <c r="Y40">
        <v>86</v>
      </c>
      <c r="Z40">
        <v>85</v>
      </c>
      <c r="AA40">
        <v>75</v>
      </c>
      <c r="AB40">
        <v>75</v>
      </c>
      <c r="AC40">
        <v>75</v>
      </c>
      <c r="AD40">
        <v>84</v>
      </c>
      <c r="AE40">
        <v>85</v>
      </c>
      <c r="AF40">
        <v>83</v>
      </c>
      <c r="AG40">
        <v>80</v>
      </c>
      <c r="AH40">
        <v>78</v>
      </c>
      <c r="AI40">
        <v>84</v>
      </c>
      <c r="AJ40">
        <v>86</v>
      </c>
      <c r="AK40">
        <v>88</v>
      </c>
      <c r="AL40">
        <v>85</v>
      </c>
      <c r="AM40">
        <v>82</v>
      </c>
      <c r="AN40">
        <v>85</v>
      </c>
      <c r="AR40">
        <v>82</v>
      </c>
      <c r="AS40">
        <v>80</v>
      </c>
      <c r="AT40">
        <v>81</v>
      </c>
      <c r="AU40">
        <v>82</v>
      </c>
      <c r="AV40">
        <v>88</v>
      </c>
      <c r="AW40">
        <v>85</v>
      </c>
      <c r="AZ40">
        <v>76</v>
      </c>
      <c r="BA40">
        <v>83</v>
      </c>
      <c r="BB40">
        <v>83</v>
      </c>
      <c r="BC40">
        <v>84</v>
      </c>
      <c r="BD40">
        <v>84</v>
      </c>
      <c r="BE40">
        <v>84</v>
      </c>
      <c r="BF40">
        <v>87</v>
      </c>
      <c r="BG40">
        <v>84</v>
      </c>
      <c r="BH40">
        <v>87</v>
      </c>
      <c r="BI40">
        <v>86</v>
      </c>
      <c r="BJ40">
        <v>77</v>
      </c>
      <c r="BK40">
        <v>82</v>
      </c>
      <c r="BL40">
        <v>85</v>
      </c>
      <c r="BM40">
        <v>88</v>
      </c>
      <c r="BN40">
        <v>83</v>
      </c>
      <c r="BO40">
        <v>83</v>
      </c>
      <c r="BP40">
        <v>85</v>
      </c>
      <c r="BQ40">
        <v>86</v>
      </c>
      <c r="BR40" s="13">
        <v>85</v>
      </c>
      <c r="BS40">
        <v>85</v>
      </c>
      <c r="BT40">
        <v>87</v>
      </c>
      <c r="BU40">
        <v>86</v>
      </c>
      <c r="BV40">
        <v>79</v>
      </c>
      <c r="BW40">
        <v>80</v>
      </c>
      <c r="BX40">
        <v>84</v>
      </c>
      <c r="BY40">
        <v>90</v>
      </c>
      <c r="BZ40">
        <v>83</v>
      </c>
      <c r="CA40">
        <v>85</v>
      </c>
      <c r="CB40">
        <v>82</v>
      </c>
      <c r="CC40">
        <v>82</v>
      </c>
      <c r="CD40">
        <v>83</v>
      </c>
      <c r="CE40">
        <v>82</v>
      </c>
      <c r="CF40">
        <v>82</v>
      </c>
      <c r="CG40">
        <v>84</v>
      </c>
      <c r="CH40" s="43" t="s">
        <v>1211</v>
      </c>
      <c r="CI40" s="19" t="s">
        <v>1154</v>
      </c>
      <c r="CJ40" s="17" t="s">
        <v>1212</v>
      </c>
      <c r="CK40" s="24" t="s">
        <v>996</v>
      </c>
      <c r="CL40" s="19"/>
      <c r="CM40" s="19"/>
      <c r="CN40" s="19"/>
      <c r="CO40" s="24"/>
      <c r="CP40" s="32"/>
      <c r="CQ40" s="32"/>
      <c r="CR40" s="32"/>
      <c r="CS40" s="32"/>
      <c r="CT40">
        <v>89.3333333333333</v>
      </c>
      <c r="CU40">
        <v>83.6666666666667</v>
      </c>
      <c r="CV40">
        <v>84</v>
      </c>
      <c r="CW40">
        <v>84</v>
      </c>
      <c r="CX40" s="13">
        <v>82.5</v>
      </c>
      <c r="CY40">
        <v>85</v>
      </c>
      <c r="CZ40" s="13">
        <f t="shared" si="0"/>
        <v>83.166666666666671</v>
      </c>
      <c r="DA40" s="13">
        <f t="shared" si="1"/>
        <v>82.666666666666671</v>
      </c>
      <c r="DB40" s="13">
        <f t="shared" si="2"/>
        <v>79.5</v>
      </c>
      <c r="DC40" s="13">
        <f t="shared" si="3"/>
        <v>84.666666666666671</v>
      </c>
      <c r="DD40" s="13">
        <f t="shared" si="4"/>
        <v>83.5</v>
      </c>
      <c r="DE40" s="13">
        <f t="shared" si="5"/>
        <v>81</v>
      </c>
      <c r="DF40" s="13">
        <f t="shared" si="6"/>
        <v>84</v>
      </c>
      <c r="DG40" s="13">
        <f t="shared" si="7"/>
        <v>83</v>
      </c>
      <c r="DH40" s="13">
        <f t="shared" si="8"/>
        <v>84</v>
      </c>
      <c r="DI40" s="13">
        <f t="shared" si="9"/>
        <v>83.5</v>
      </c>
      <c r="DJ40" s="13">
        <f t="shared" si="10"/>
        <v>79.5</v>
      </c>
      <c r="DK40" s="13">
        <f t="shared" si="11"/>
        <v>85.5</v>
      </c>
      <c r="DL40" s="13">
        <f t="shared" si="12"/>
        <v>79.5</v>
      </c>
      <c r="DM40" s="13">
        <f t="shared" si="13"/>
        <v>86.5</v>
      </c>
      <c r="DN40" s="13">
        <f t="shared" si="14"/>
        <v>86.5</v>
      </c>
      <c r="DO40" s="13">
        <f t="shared" si="15"/>
        <v>85.75</v>
      </c>
      <c r="DP40" s="13">
        <f t="shared" si="16"/>
        <v>84.25</v>
      </c>
      <c r="DQ40" s="13">
        <f t="shared" si="17"/>
        <v>82.25</v>
      </c>
      <c r="DR40" s="13">
        <f t="shared" si="18"/>
        <v>84</v>
      </c>
      <c r="DS40">
        <f t="shared" si="19"/>
        <v>83.25</v>
      </c>
      <c r="DT40">
        <f t="shared" si="20"/>
        <v>79.5</v>
      </c>
      <c r="DU40">
        <f t="shared" si="21"/>
        <v>83.5</v>
      </c>
      <c r="DV40" s="31">
        <f t="shared" si="22"/>
        <v>83.482142857142861</v>
      </c>
    </row>
    <row r="41" spans="1:126">
      <c r="A41">
        <v>40</v>
      </c>
      <c r="B41">
        <f>'DATA US'!B54</f>
        <v>222310037</v>
      </c>
      <c r="C41" t="str">
        <f>'DATA US'!C54</f>
        <v>0076987847</v>
      </c>
      <c r="D41">
        <f>'DATA US'!B136</f>
        <v>222310118</v>
      </c>
      <c r="E41" t="str">
        <f>'DATA US'!C136</f>
        <v>0078208166</v>
      </c>
      <c r="F41" t="str">
        <f>'DATA US'!F136</f>
        <v>Jakarta</v>
      </c>
      <c r="G41" s="7" t="s">
        <v>740</v>
      </c>
      <c r="H41" t="str">
        <f>'DATA US'!D136</f>
        <v xml:space="preserve">FEBRY LIDIYANA MULYA PUTRI SURYANA </v>
      </c>
      <c r="I41">
        <v>81</v>
      </c>
      <c r="J41">
        <v>77</v>
      </c>
      <c r="K41">
        <v>83</v>
      </c>
      <c r="L41">
        <v>85</v>
      </c>
      <c r="M41">
        <v>81</v>
      </c>
      <c r="N41">
        <v>82</v>
      </c>
      <c r="O41">
        <v>82</v>
      </c>
      <c r="P41">
        <v>85</v>
      </c>
      <c r="Q41">
        <v>82</v>
      </c>
      <c r="R41">
        <v>84</v>
      </c>
      <c r="S41">
        <v>84</v>
      </c>
      <c r="T41">
        <v>85</v>
      </c>
      <c r="U41">
        <v>79</v>
      </c>
      <c r="V41">
        <v>81</v>
      </c>
      <c r="W41">
        <v>81</v>
      </c>
      <c r="X41">
        <v>85</v>
      </c>
      <c r="Y41">
        <v>82</v>
      </c>
      <c r="Z41">
        <v>83</v>
      </c>
      <c r="AA41">
        <v>75</v>
      </c>
      <c r="AB41">
        <v>75</v>
      </c>
      <c r="AC41">
        <v>75</v>
      </c>
      <c r="AD41">
        <v>83</v>
      </c>
      <c r="AE41">
        <v>82</v>
      </c>
      <c r="AF41">
        <v>80</v>
      </c>
      <c r="AG41">
        <v>79</v>
      </c>
      <c r="AH41">
        <v>77</v>
      </c>
      <c r="AI41">
        <v>85</v>
      </c>
      <c r="AJ41">
        <v>86</v>
      </c>
      <c r="AK41">
        <v>84</v>
      </c>
      <c r="AL41">
        <v>85</v>
      </c>
      <c r="AM41">
        <v>82</v>
      </c>
      <c r="AN41">
        <v>85</v>
      </c>
      <c r="AR41">
        <v>81</v>
      </c>
      <c r="AS41">
        <v>80</v>
      </c>
      <c r="AT41">
        <v>80</v>
      </c>
      <c r="AU41">
        <v>81</v>
      </c>
      <c r="AV41">
        <v>88</v>
      </c>
      <c r="AW41">
        <v>85</v>
      </c>
      <c r="AZ41">
        <v>75</v>
      </c>
      <c r="BA41">
        <v>82</v>
      </c>
      <c r="BB41">
        <v>84</v>
      </c>
      <c r="BC41">
        <v>84</v>
      </c>
      <c r="BD41">
        <v>84</v>
      </c>
      <c r="BE41">
        <v>84</v>
      </c>
      <c r="BF41">
        <v>81</v>
      </c>
      <c r="BG41">
        <v>86</v>
      </c>
      <c r="BH41">
        <v>81</v>
      </c>
      <c r="BI41">
        <v>87</v>
      </c>
      <c r="BJ41">
        <v>79</v>
      </c>
      <c r="BK41">
        <v>81</v>
      </c>
      <c r="BL41">
        <v>79</v>
      </c>
      <c r="BM41">
        <v>82</v>
      </c>
      <c r="BN41">
        <v>80</v>
      </c>
      <c r="BO41">
        <v>80</v>
      </c>
      <c r="BP41">
        <v>84</v>
      </c>
      <c r="BQ41">
        <v>86</v>
      </c>
      <c r="BR41" s="13">
        <v>85</v>
      </c>
      <c r="BS41">
        <v>86</v>
      </c>
      <c r="BT41">
        <v>87</v>
      </c>
      <c r="BU41">
        <v>87</v>
      </c>
      <c r="BV41">
        <v>80</v>
      </c>
      <c r="BW41">
        <v>84</v>
      </c>
      <c r="BX41">
        <v>85</v>
      </c>
      <c r="BY41">
        <v>89</v>
      </c>
      <c r="BZ41">
        <v>82</v>
      </c>
      <c r="CA41">
        <v>84</v>
      </c>
      <c r="CB41">
        <v>81</v>
      </c>
      <c r="CC41">
        <v>82</v>
      </c>
      <c r="CD41">
        <v>84</v>
      </c>
      <c r="CE41">
        <v>82</v>
      </c>
      <c r="CF41">
        <v>85</v>
      </c>
      <c r="CG41">
        <v>86</v>
      </c>
      <c r="CH41" s="17" t="s">
        <v>1033</v>
      </c>
      <c r="CI41" s="17" t="s">
        <v>1154</v>
      </c>
      <c r="CJ41" s="17" t="s">
        <v>1034</v>
      </c>
      <c r="CK41" s="19" t="s">
        <v>996</v>
      </c>
      <c r="CL41" s="19" t="s">
        <v>1213</v>
      </c>
      <c r="CM41" s="19" t="s">
        <v>1154</v>
      </c>
      <c r="CN41" s="17" t="s">
        <v>1212</v>
      </c>
      <c r="CO41" s="19" t="s">
        <v>996</v>
      </c>
      <c r="CT41">
        <v>89</v>
      </c>
      <c r="CU41">
        <v>84.3333333333333</v>
      </c>
      <c r="CV41">
        <v>84</v>
      </c>
      <c r="CW41">
        <v>92</v>
      </c>
      <c r="CX41" s="13">
        <v>82.5</v>
      </c>
      <c r="CY41">
        <v>85</v>
      </c>
      <c r="CZ41" s="13">
        <f t="shared" si="0"/>
        <v>81.5</v>
      </c>
      <c r="DA41" s="13">
        <f t="shared" si="1"/>
        <v>83.666666666666671</v>
      </c>
      <c r="DB41" s="13">
        <f t="shared" si="2"/>
        <v>78.333333333333329</v>
      </c>
      <c r="DC41" s="13">
        <f t="shared" si="3"/>
        <v>81.833333333333329</v>
      </c>
      <c r="DD41" s="13">
        <f t="shared" si="4"/>
        <v>82.666666666666671</v>
      </c>
      <c r="DE41" s="13">
        <f t="shared" si="5"/>
        <v>80.5</v>
      </c>
      <c r="DF41" s="13">
        <f t="shared" si="6"/>
        <v>83.5</v>
      </c>
      <c r="DG41" s="13">
        <f t="shared" si="7"/>
        <v>85.5</v>
      </c>
      <c r="DH41" s="13">
        <f t="shared" si="8"/>
        <v>84</v>
      </c>
      <c r="DI41" s="13">
        <f t="shared" si="9"/>
        <v>84</v>
      </c>
      <c r="DJ41" s="13">
        <f t="shared" si="10"/>
        <v>78.5</v>
      </c>
      <c r="DK41" s="13">
        <f t="shared" si="11"/>
        <v>83.5</v>
      </c>
      <c r="DL41" s="13">
        <f t="shared" si="12"/>
        <v>80</v>
      </c>
      <c r="DM41" s="13">
        <f t="shared" si="13"/>
        <v>84</v>
      </c>
      <c r="DN41" s="13">
        <f t="shared" si="14"/>
        <v>80.5</v>
      </c>
      <c r="DO41" s="13">
        <f t="shared" si="15"/>
        <v>86.25</v>
      </c>
      <c r="DP41" s="13">
        <f t="shared" si="16"/>
        <v>82.5</v>
      </c>
      <c r="DQ41" s="13">
        <f t="shared" si="17"/>
        <v>82.25</v>
      </c>
      <c r="DR41" s="13">
        <f t="shared" si="18"/>
        <v>83</v>
      </c>
      <c r="DS41">
        <f t="shared" si="19"/>
        <v>84.5</v>
      </c>
      <c r="DT41">
        <f t="shared" si="20"/>
        <v>78.333333333333329</v>
      </c>
      <c r="DU41">
        <f t="shared" si="21"/>
        <v>83.5</v>
      </c>
      <c r="DV41" s="31">
        <f t="shared" si="22"/>
        <v>83.18452380952381</v>
      </c>
    </row>
    <row r="42" spans="1:126">
      <c r="A42">
        <v>41</v>
      </c>
      <c r="B42">
        <f>'DATA US'!B55</f>
        <v>222310038</v>
      </c>
      <c r="C42" t="str">
        <f>'DATA US'!C55</f>
        <v>0076325232</v>
      </c>
      <c r="D42">
        <f>'DATA US'!B137</f>
        <v>222310119</v>
      </c>
      <c r="E42" t="str">
        <f>'DATA US'!C137</f>
        <v>0076209344</v>
      </c>
      <c r="F42" t="str">
        <f>'DATA US'!F137</f>
        <v>Bekasi</v>
      </c>
      <c r="G42" s="7" t="s">
        <v>149</v>
      </c>
      <c r="H42" t="str">
        <f>'DATA US'!D137</f>
        <v>FINITA MEYDINAYATI</v>
      </c>
      <c r="I42">
        <v>82</v>
      </c>
      <c r="J42">
        <v>82</v>
      </c>
      <c r="K42">
        <v>85</v>
      </c>
      <c r="L42">
        <v>91</v>
      </c>
      <c r="M42">
        <v>85</v>
      </c>
      <c r="N42">
        <v>86</v>
      </c>
      <c r="O42">
        <v>83</v>
      </c>
      <c r="P42">
        <v>84</v>
      </c>
      <c r="Q42">
        <v>83</v>
      </c>
      <c r="R42">
        <v>84</v>
      </c>
      <c r="S42">
        <v>85</v>
      </c>
      <c r="T42">
        <v>85</v>
      </c>
      <c r="U42">
        <v>80</v>
      </c>
      <c r="V42">
        <v>81</v>
      </c>
      <c r="W42">
        <v>84</v>
      </c>
      <c r="X42">
        <v>86</v>
      </c>
      <c r="Y42">
        <v>83</v>
      </c>
      <c r="Z42">
        <v>83</v>
      </c>
      <c r="AA42">
        <v>75</v>
      </c>
      <c r="AB42">
        <v>75</v>
      </c>
      <c r="AC42">
        <v>75</v>
      </c>
      <c r="AD42">
        <v>81</v>
      </c>
      <c r="AE42">
        <v>85</v>
      </c>
      <c r="AF42">
        <v>89</v>
      </c>
      <c r="AG42">
        <v>83</v>
      </c>
      <c r="AH42">
        <v>82</v>
      </c>
      <c r="AI42">
        <v>87</v>
      </c>
      <c r="AJ42">
        <v>87</v>
      </c>
      <c r="AK42">
        <v>90</v>
      </c>
      <c r="AL42">
        <v>92</v>
      </c>
      <c r="AM42">
        <v>85</v>
      </c>
      <c r="AN42">
        <v>85</v>
      </c>
      <c r="AR42">
        <v>82</v>
      </c>
      <c r="AS42">
        <v>81</v>
      </c>
      <c r="AT42">
        <v>80</v>
      </c>
      <c r="AU42">
        <v>81</v>
      </c>
      <c r="AV42">
        <v>88</v>
      </c>
      <c r="AW42">
        <v>84</v>
      </c>
      <c r="AZ42">
        <v>78</v>
      </c>
      <c r="BA42">
        <v>82</v>
      </c>
      <c r="BB42">
        <v>84</v>
      </c>
      <c r="BC42">
        <v>84</v>
      </c>
      <c r="BD42">
        <v>84</v>
      </c>
      <c r="BE42">
        <v>84</v>
      </c>
      <c r="BF42">
        <v>85</v>
      </c>
      <c r="BG42">
        <v>85</v>
      </c>
      <c r="BH42">
        <v>85</v>
      </c>
      <c r="BI42">
        <v>88</v>
      </c>
      <c r="BJ42">
        <v>77</v>
      </c>
      <c r="BK42">
        <v>81</v>
      </c>
      <c r="BL42">
        <v>83</v>
      </c>
      <c r="BM42">
        <v>86</v>
      </c>
      <c r="BN42">
        <v>84</v>
      </c>
      <c r="BO42">
        <v>83</v>
      </c>
      <c r="BP42">
        <v>84</v>
      </c>
      <c r="BQ42">
        <v>85</v>
      </c>
      <c r="BR42" s="13">
        <v>84</v>
      </c>
      <c r="BS42">
        <v>88</v>
      </c>
      <c r="BT42">
        <v>90</v>
      </c>
      <c r="BU42">
        <v>90</v>
      </c>
      <c r="BV42">
        <v>82</v>
      </c>
      <c r="BW42">
        <v>84</v>
      </c>
      <c r="BX42">
        <v>85</v>
      </c>
      <c r="BY42">
        <v>90</v>
      </c>
      <c r="BZ42">
        <v>82</v>
      </c>
      <c r="CA42">
        <v>84</v>
      </c>
      <c r="CB42">
        <v>81</v>
      </c>
      <c r="CC42">
        <v>83</v>
      </c>
      <c r="CD42">
        <v>84</v>
      </c>
      <c r="CE42">
        <v>82</v>
      </c>
      <c r="CF42">
        <v>83</v>
      </c>
      <c r="CG42">
        <v>86</v>
      </c>
      <c r="CH42" s="17" t="s">
        <v>1205</v>
      </c>
      <c r="CI42" s="17" t="s">
        <v>1206</v>
      </c>
      <c r="CJ42" s="17" t="s">
        <v>1194</v>
      </c>
      <c r="CK42" s="17" t="s">
        <v>996</v>
      </c>
      <c r="CT42">
        <v>90.3333333333333</v>
      </c>
      <c r="CU42">
        <v>85.3333333333333</v>
      </c>
      <c r="CV42">
        <v>88</v>
      </c>
      <c r="CW42">
        <v>89</v>
      </c>
      <c r="CX42" s="13">
        <v>86.5</v>
      </c>
      <c r="CY42">
        <v>85</v>
      </c>
      <c r="CZ42" s="13">
        <f t="shared" si="0"/>
        <v>85.166666666666671</v>
      </c>
      <c r="DA42" s="13">
        <f t="shared" si="1"/>
        <v>84</v>
      </c>
      <c r="DB42" s="13">
        <f t="shared" si="2"/>
        <v>80</v>
      </c>
      <c r="DC42" s="13">
        <f t="shared" si="3"/>
        <v>82.833333333333329</v>
      </c>
      <c r="DD42" s="13">
        <f t="shared" si="4"/>
        <v>86.833333333333329</v>
      </c>
      <c r="DE42" s="13">
        <f t="shared" si="5"/>
        <v>81.5</v>
      </c>
      <c r="DF42" s="13">
        <f t="shared" si="6"/>
        <v>83.25</v>
      </c>
      <c r="DG42" s="13">
        <f t="shared" si="7"/>
        <v>84.5</v>
      </c>
      <c r="DH42" s="13">
        <f t="shared" si="8"/>
        <v>84</v>
      </c>
      <c r="DI42" s="13">
        <f t="shared" si="9"/>
        <v>84</v>
      </c>
      <c r="DJ42" s="13">
        <f t="shared" si="10"/>
        <v>80</v>
      </c>
      <c r="DK42" s="13">
        <f t="shared" si="11"/>
        <v>85</v>
      </c>
      <c r="DL42" s="13">
        <f t="shared" si="12"/>
        <v>79</v>
      </c>
      <c r="DM42" s="13">
        <f t="shared" si="13"/>
        <v>86.5</v>
      </c>
      <c r="DN42" s="13">
        <f t="shared" si="14"/>
        <v>84.5</v>
      </c>
      <c r="DO42" s="13">
        <f t="shared" si="15"/>
        <v>88</v>
      </c>
      <c r="DP42" s="13">
        <f t="shared" si="16"/>
        <v>84</v>
      </c>
      <c r="DQ42" s="13">
        <f t="shared" si="17"/>
        <v>82.5</v>
      </c>
      <c r="DR42" s="13">
        <f t="shared" si="18"/>
        <v>83</v>
      </c>
      <c r="DS42">
        <f t="shared" si="19"/>
        <v>85.25</v>
      </c>
      <c r="DT42">
        <f t="shared" si="20"/>
        <v>80</v>
      </c>
      <c r="DU42">
        <f t="shared" si="21"/>
        <v>85</v>
      </c>
      <c r="DV42" s="31">
        <f t="shared" si="22"/>
        <v>84.392857142857139</v>
      </c>
    </row>
    <row r="43" spans="1:126">
      <c r="A43">
        <v>42</v>
      </c>
      <c r="B43">
        <f>'DATA US'!B56</f>
        <v>222310039</v>
      </c>
      <c r="C43" t="str">
        <f>'DATA US'!C56</f>
        <v>0072890752</v>
      </c>
      <c r="D43">
        <f>'DATA US'!B138</f>
        <v>222310120</v>
      </c>
      <c r="E43" t="str">
        <f>'DATA US'!C138</f>
        <v>0073458110</v>
      </c>
      <c r="F43" t="str">
        <f>'DATA US'!F138</f>
        <v>Jakarta</v>
      </c>
      <c r="G43" s="7" t="s">
        <v>750</v>
      </c>
      <c r="H43" t="str">
        <f>'DATA US'!D138</f>
        <v>HERMAWAN</v>
      </c>
      <c r="I43">
        <v>81</v>
      </c>
      <c r="J43">
        <v>78</v>
      </c>
      <c r="K43">
        <v>88</v>
      </c>
      <c r="L43">
        <v>86</v>
      </c>
      <c r="M43">
        <v>83</v>
      </c>
      <c r="N43">
        <v>85</v>
      </c>
      <c r="O43">
        <v>82</v>
      </c>
      <c r="P43">
        <v>84</v>
      </c>
      <c r="Q43">
        <v>82</v>
      </c>
      <c r="R43">
        <v>83</v>
      </c>
      <c r="S43">
        <v>83</v>
      </c>
      <c r="T43">
        <v>85</v>
      </c>
      <c r="U43">
        <v>79</v>
      </c>
      <c r="V43">
        <v>84</v>
      </c>
      <c r="W43">
        <v>84</v>
      </c>
      <c r="X43">
        <v>86</v>
      </c>
      <c r="Y43">
        <v>83</v>
      </c>
      <c r="Z43">
        <v>83</v>
      </c>
      <c r="AA43">
        <v>75</v>
      </c>
      <c r="AB43">
        <v>75</v>
      </c>
      <c r="AC43">
        <v>75</v>
      </c>
      <c r="AD43">
        <v>82</v>
      </c>
      <c r="AE43">
        <v>88</v>
      </c>
      <c r="AF43">
        <v>88</v>
      </c>
      <c r="AG43">
        <v>78</v>
      </c>
      <c r="AH43">
        <v>78</v>
      </c>
      <c r="AI43">
        <v>84</v>
      </c>
      <c r="AJ43">
        <v>85</v>
      </c>
      <c r="AK43">
        <v>91</v>
      </c>
      <c r="AL43">
        <v>92</v>
      </c>
      <c r="AM43">
        <v>85</v>
      </c>
      <c r="AN43">
        <v>87</v>
      </c>
      <c r="AR43">
        <v>82</v>
      </c>
      <c r="AS43">
        <v>83</v>
      </c>
      <c r="AT43">
        <v>81</v>
      </c>
      <c r="AU43">
        <v>81</v>
      </c>
      <c r="AV43">
        <v>86</v>
      </c>
      <c r="AW43">
        <v>85</v>
      </c>
      <c r="AZ43">
        <v>78</v>
      </c>
      <c r="BA43">
        <v>86</v>
      </c>
      <c r="BB43">
        <v>83</v>
      </c>
      <c r="BC43">
        <v>84</v>
      </c>
      <c r="BD43">
        <v>84</v>
      </c>
      <c r="BE43">
        <v>84</v>
      </c>
      <c r="BF43">
        <v>88</v>
      </c>
      <c r="BG43">
        <v>87</v>
      </c>
      <c r="BH43">
        <v>88</v>
      </c>
      <c r="BI43">
        <v>89</v>
      </c>
      <c r="BJ43">
        <v>77</v>
      </c>
      <c r="BK43">
        <v>82</v>
      </c>
      <c r="BL43">
        <v>82</v>
      </c>
      <c r="BM43">
        <v>85</v>
      </c>
      <c r="BN43">
        <v>83</v>
      </c>
      <c r="BO43">
        <v>83</v>
      </c>
      <c r="BP43">
        <v>84</v>
      </c>
      <c r="BQ43">
        <v>86</v>
      </c>
      <c r="BR43" s="13">
        <v>84</v>
      </c>
      <c r="BS43">
        <v>81</v>
      </c>
      <c r="BT43">
        <v>90</v>
      </c>
      <c r="BU43">
        <v>89</v>
      </c>
      <c r="BV43">
        <v>81</v>
      </c>
      <c r="BW43">
        <v>87</v>
      </c>
      <c r="BX43">
        <v>85</v>
      </c>
      <c r="BY43">
        <v>90</v>
      </c>
      <c r="BZ43">
        <v>83</v>
      </c>
      <c r="CA43">
        <v>85</v>
      </c>
      <c r="CB43">
        <v>82</v>
      </c>
      <c r="CC43">
        <v>83</v>
      </c>
      <c r="CD43">
        <v>83</v>
      </c>
      <c r="CE43">
        <v>82</v>
      </c>
      <c r="CF43">
        <v>82</v>
      </c>
      <c r="CG43">
        <v>85</v>
      </c>
      <c r="CH43" s="17" t="s">
        <v>1033</v>
      </c>
      <c r="CI43" s="17" t="s">
        <v>1154</v>
      </c>
      <c r="CJ43" s="17" t="s">
        <v>1214</v>
      </c>
      <c r="CK43" s="17" t="s">
        <v>996</v>
      </c>
      <c r="CT43">
        <v>92.3333333333333</v>
      </c>
      <c r="CU43">
        <v>84.3333333333333</v>
      </c>
      <c r="CV43">
        <v>97</v>
      </c>
      <c r="CW43">
        <v>89</v>
      </c>
      <c r="CX43" s="13">
        <v>83</v>
      </c>
      <c r="CY43">
        <v>87</v>
      </c>
      <c r="CZ43" s="13">
        <f t="shared" si="0"/>
        <v>83.5</v>
      </c>
      <c r="DA43" s="13">
        <f t="shared" si="1"/>
        <v>83.166666666666671</v>
      </c>
      <c r="DB43" s="13">
        <f t="shared" si="2"/>
        <v>80.5</v>
      </c>
      <c r="DC43" s="13">
        <f t="shared" si="3"/>
        <v>83.166666666666671</v>
      </c>
      <c r="DD43" s="13">
        <f t="shared" si="4"/>
        <v>84.666666666666671</v>
      </c>
      <c r="DE43" s="13">
        <f t="shared" si="5"/>
        <v>82.5</v>
      </c>
      <c r="DF43" s="13">
        <f t="shared" si="6"/>
        <v>83.25</v>
      </c>
      <c r="DG43" s="13">
        <f t="shared" si="7"/>
        <v>83.5</v>
      </c>
      <c r="DH43" s="13">
        <f t="shared" si="8"/>
        <v>84</v>
      </c>
      <c r="DI43" s="13">
        <f t="shared" si="9"/>
        <v>83.5</v>
      </c>
      <c r="DJ43" s="13">
        <f t="shared" si="10"/>
        <v>82</v>
      </c>
      <c r="DK43" s="13">
        <f t="shared" si="11"/>
        <v>87.5</v>
      </c>
      <c r="DL43" s="13">
        <f t="shared" si="12"/>
        <v>79.5</v>
      </c>
      <c r="DM43" s="13">
        <f t="shared" si="13"/>
        <v>88.5</v>
      </c>
      <c r="DN43" s="13">
        <f t="shared" si="14"/>
        <v>83.5</v>
      </c>
      <c r="DO43" s="13">
        <f t="shared" si="15"/>
        <v>86</v>
      </c>
      <c r="DP43" s="13">
        <f t="shared" si="16"/>
        <v>84</v>
      </c>
      <c r="DQ43" s="13">
        <f t="shared" si="17"/>
        <v>82.5</v>
      </c>
      <c r="DR43" s="13">
        <f t="shared" si="18"/>
        <v>84</v>
      </c>
      <c r="DS43">
        <f t="shared" si="19"/>
        <v>85.75</v>
      </c>
      <c r="DT43">
        <f t="shared" si="20"/>
        <v>80.5</v>
      </c>
      <c r="DU43">
        <f t="shared" si="21"/>
        <v>86</v>
      </c>
      <c r="DV43" s="31">
        <f t="shared" si="22"/>
        <v>84.791666666666657</v>
      </c>
    </row>
    <row r="44" spans="1:126">
      <c r="A44">
        <v>43</v>
      </c>
      <c r="B44">
        <f>'DATA US'!B57</f>
        <v>222310040</v>
      </c>
      <c r="C44" t="str">
        <f>'DATA US'!C57</f>
        <v>0065370722</v>
      </c>
      <c r="D44">
        <f>'DATA US'!B139</f>
        <v>222310121</v>
      </c>
      <c r="E44" t="str">
        <f>'DATA US'!C139</f>
        <v>0075502511</v>
      </c>
      <c r="F44" t="str">
        <f>'DATA US'!F139</f>
        <v>Bekasi</v>
      </c>
      <c r="G44" s="7" t="s">
        <v>755</v>
      </c>
      <c r="H44" t="str">
        <f>'DATA US'!D139</f>
        <v>HIJIYAH BULAN DARI</v>
      </c>
      <c r="I44">
        <v>83</v>
      </c>
      <c r="J44">
        <v>80</v>
      </c>
      <c r="K44">
        <v>86</v>
      </c>
      <c r="L44">
        <v>85</v>
      </c>
      <c r="M44">
        <v>84</v>
      </c>
      <c r="N44">
        <v>85</v>
      </c>
      <c r="O44">
        <v>81</v>
      </c>
      <c r="P44">
        <v>84</v>
      </c>
      <c r="Q44">
        <v>84</v>
      </c>
      <c r="R44">
        <v>84</v>
      </c>
      <c r="S44">
        <v>84</v>
      </c>
      <c r="T44">
        <v>85</v>
      </c>
      <c r="U44">
        <v>79</v>
      </c>
      <c r="V44">
        <v>80</v>
      </c>
      <c r="W44">
        <v>84</v>
      </c>
      <c r="X44">
        <v>87</v>
      </c>
      <c r="Y44">
        <v>85</v>
      </c>
      <c r="Z44">
        <v>85</v>
      </c>
      <c r="AA44">
        <v>75</v>
      </c>
      <c r="AB44">
        <v>77</v>
      </c>
      <c r="AC44">
        <v>77</v>
      </c>
      <c r="AD44">
        <v>85</v>
      </c>
      <c r="AE44">
        <v>89</v>
      </c>
      <c r="AF44">
        <v>89</v>
      </c>
      <c r="AG44">
        <v>80</v>
      </c>
      <c r="AH44">
        <v>80</v>
      </c>
      <c r="AI44">
        <v>84</v>
      </c>
      <c r="AJ44">
        <v>86</v>
      </c>
      <c r="AK44">
        <v>90</v>
      </c>
      <c r="AL44">
        <v>95</v>
      </c>
      <c r="AM44">
        <v>83</v>
      </c>
      <c r="AN44">
        <v>86</v>
      </c>
      <c r="AR44">
        <v>82</v>
      </c>
      <c r="AS44">
        <v>81</v>
      </c>
      <c r="AT44">
        <v>81</v>
      </c>
      <c r="AU44">
        <v>82</v>
      </c>
      <c r="AV44">
        <v>85</v>
      </c>
      <c r="AW44">
        <v>83</v>
      </c>
      <c r="AZ44">
        <v>77</v>
      </c>
      <c r="BA44">
        <v>85</v>
      </c>
      <c r="BB44">
        <v>83</v>
      </c>
      <c r="BC44">
        <v>83</v>
      </c>
      <c r="BD44">
        <v>84</v>
      </c>
      <c r="BE44">
        <v>84</v>
      </c>
      <c r="BF44">
        <v>93</v>
      </c>
      <c r="BG44">
        <v>85</v>
      </c>
      <c r="BH44">
        <v>94</v>
      </c>
      <c r="BI44">
        <v>89</v>
      </c>
      <c r="BJ44">
        <v>77</v>
      </c>
      <c r="BK44">
        <v>82</v>
      </c>
      <c r="BL44">
        <v>82</v>
      </c>
      <c r="BM44">
        <v>85</v>
      </c>
      <c r="BN44">
        <v>85</v>
      </c>
      <c r="BO44">
        <v>83</v>
      </c>
      <c r="BP44">
        <v>84</v>
      </c>
      <c r="BQ44">
        <v>85</v>
      </c>
      <c r="BR44" s="13">
        <v>87</v>
      </c>
      <c r="BS44">
        <v>90</v>
      </c>
      <c r="BT44">
        <v>90</v>
      </c>
      <c r="BU44">
        <v>90</v>
      </c>
      <c r="BV44">
        <v>82</v>
      </c>
      <c r="BW44">
        <v>86</v>
      </c>
      <c r="BX44">
        <v>85</v>
      </c>
      <c r="BY44">
        <v>91</v>
      </c>
      <c r="BZ44">
        <v>82</v>
      </c>
      <c r="CA44">
        <v>84</v>
      </c>
      <c r="CB44">
        <v>82</v>
      </c>
      <c r="CC44">
        <v>85</v>
      </c>
      <c r="CD44">
        <v>82</v>
      </c>
      <c r="CE44">
        <v>82</v>
      </c>
      <c r="CF44">
        <v>82</v>
      </c>
      <c r="CG44">
        <v>84</v>
      </c>
      <c r="CH44" s="17" t="s">
        <v>1144</v>
      </c>
      <c r="CI44" s="17" t="s">
        <v>1145</v>
      </c>
      <c r="CJ44" s="17" t="s">
        <v>1208</v>
      </c>
      <c r="CK44" s="17" t="s">
        <v>996</v>
      </c>
      <c r="CT44">
        <v>90</v>
      </c>
      <c r="CU44">
        <v>86.3333333333333</v>
      </c>
      <c r="CV44">
        <v>98</v>
      </c>
      <c r="CW44">
        <v>85</v>
      </c>
      <c r="CX44" s="13">
        <v>83.5</v>
      </c>
      <c r="CY44">
        <v>87</v>
      </c>
      <c r="CZ44" s="13">
        <f t="shared" si="0"/>
        <v>83.833333333333329</v>
      </c>
      <c r="DA44" s="13">
        <f t="shared" si="1"/>
        <v>83.666666666666671</v>
      </c>
      <c r="DB44" s="13">
        <f t="shared" si="2"/>
        <v>82</v>
      </c>
      <c r="DC44" s="13">
        <f t="shared" si="3"/>
        <v>83.333333333333329</v>
      </c>
      <c r="DD44" s="13">
        <f t="shared" si="4"/>
        <v>85.833333333333329</v>
      </c>
      <c r="DE44" s="13">
        <f t="shared" si="5"/>
        <v>81.5</v>
      </c>
      <c r="DF44" s="13">
        <f t="shared" si="6"/>
        <v>82.75</v>
      </c>
      <c r="DG44" s="13">
        <f t="shared" si="7"/>
        <v>83</v>
      </c>
      <c r="DH44" s="13">
        <f t="shared" si="8"/>
        <v>84</v>
      </c>
      <c r="DI44" s="13">
        <f t="shared" si="9"/>
        <v>83</v>
      </c>
      <c r="DJ44" s="13">
        <f t="shared" si="10"/>
        <v>81</v>
      </c>
      <c r="DK44" s="13">
        <f t="shared" si="11"/>
        <v>89</v>
      </c>
      <c r="DL44" s="13">
        <f t="shared" si="12"/>
        <v>79.5</v>
      </c>
      <c r="DM44" s="13">
        <f t="shared" si="13"/>
        <v>91.5</v>
      </c>
      <c r="DN44" s="13">
        <f t="shared" si="14"/>
        <v>83.5</v>
      </c>
      <c r="DO44" s="13">
        <f t="shared" si="15"/>
        <v>89.25</v>
      </c>
      <c r="DP44" s="13">
        <f t="shared" si="16"/>
        <v>84.25</v>
      </c>
      <c r="DQ44" s="13">
        <f t="shared" si="17"/>
        <v>82.75</v>
      </c>
      <c r="DR44" s="13">
        <f t="shared" si="18"/>
        <v>83</v>
      </c>
      <c r="DS44">
        <f t="shared" si="19"/>
        <v>86</v>
      </c>
      <c r="DT44">
        <f t="shared" si="20"/>
        <v>82</v>
      </c>
      <c r="DU44">
        <f t="shared" si="21"/>
        <v>84.5</v>
      </c>
      <c r="DV44" s="31">
        <f t="shared" si="22"/>
        <v>84.964285714285708</v>
      </c>
    </row>
    <row r="45" spans="1:126">
      <c r="A45">
        <v>44</v>
      </c>
      <c r="B45">
        <f>'DATA US'!B58</f>
        <v>222310041</v>
      </c>
      <c r="C45" t="str">
        <f>'DATA US'!C58</f>
        <v>0076850408</v>
      </c>
      <c r="D45">
        <f>'DATA US'!B140</f>
        <v>222310122</v>
      </c>
      <c r="E45" t="str">
        <f>'DATA US'!C140</f>
        <v>0064458927</v>
      </c>
      <c r="F45" t="str">
        <f>'DATA US'!F140</f>
        <v>Bekasi</v>
      </c>
      <c r="G45" s="7" t="s">
        <v>761</v>
      </c>
      <c r="H45" t="str">
        <f>'DATA US'!D140</f>
        <v>IRFA MUBAROK</v>
      </c>
      <c r="I45">
        <v>82</v>
      </c>
      <c r="J45">
        <v>77</v>
      </c>
      <c r="K45">
        <v>87</v>
      </c>
      <c r="L45">
        <v>86</v>
      </c>
      <c r="M45">
        <v>83</v>
      </c>
      <c r="N45">
        <v>84</v>
      </c>
      <c r="O45">
        <v>82</v>
      </c>
      <c r="P45">
        <v>85</v>
      </c>
      <c r="Q45">
        <v>83</v>
      </c>
      <c r="R45">
        <v>83</v>
      </c>
      <c r="S45">
        <v>84</v>
      </c>
      <c r="T45">
        <v>85</v>
      </c>
      <c r="U45">
        <v>78</v>
      </c>
      <c r="V45">
        <v>85</v>
      </c>
      <c r="W45">
        <v>90</v>
      </c>
      <c r="X45">
        <v>88</v>
      </c>
      <c r="Y45">
        <v>88</v>
      </c>
      <c r="Z45">
        <v>88</v>
      </c>
      <c r="AA45">
        <v>75</v>
      </c>
      <c r="AB45">
        <v>78</v>
      </c>
      <c r="AC45">
        <v>78</v>
      </c>
      <c r="AD45">
        <v>85</v>
      </c>
      <c r="AE45">
        <v>88</v>
      </c>
      <c r="AF45">
        <v>88</v>
      </c>
      <c r="AG45">
        <v>79</v>
      </c>
      <c r="AH45">
        <v>77</v>
      </c>
      <c r="AI45">
        <v>84</v>
      </c>
      <c r="AJ45">
        <v>81</v>
      </c>
      <c r="AK45">
        <v>83</v>
      </c>
      <c r="AL45">
        <v>85</v>
      </c>
      <c r="AM45">
        <v>84</v>
      </c>
      <c r="AN45">
        <v>86</v>
      </c>
      <c r="AR45">
        <v>81</v>
      </c>
      <c r="AS45">
        <v>84</v>
      </c>
      <c r="AT45">
        <v>81</v>
      </c>
      <c r="AU45">
        <v>82</v>
      </c>
      <c r="AV45">
        <v>86</v>
      </c>
      <c r="AW45">
        <v>84</v>
      </c>
      <c r="AZ45">
        <v>79</v>
      </c>
      <c r="BA45">
        <v>84</v>
      </c>
      <c r="BB45">
        <v>84</v>
      </c>
      <c r="BC45">
        <v>84</v>
      </c>
      <c r="BD45">
        <v>83</v>
      </c>
      <c r="BE45">
        <v>83</v>
      </c>
      <c r="BF45">
        <v>92</v>
      </c>
      <c r="BG45">
        <v>86</v>
      </c>
      <c r="BH45">
        <v>93</v>
      </c>
      <c r="BI45">
        <v>87</v>
      </c>
      <c r="BJ45">
        <v>79</v>
      </c>
      <c r="BK45">
        <v>81</v>
      </c>
      <c r="BL45">
        <v>80</v>
      </c>
      <c r="BM45">
        <v>82</v>
      </c>
      <c r="BN45">
        <v>87</v>
      </c>
      <c r="BO45">
        <v>87</v>
      </c>
      <c r="BP45">
        <v>84</v>
      </c>
      <c r="BQ45">
        <v>85</v>
      </c>
      <c r="BR45" s="13">
        <v>88</v>
      </c>
      <c r="BS45">
        <v>82</v>
      </c>
      <c r="BT45">
        <v>91</v>
      </c>
      <c r="BU45">
        <v>91</v>
      </c>
      <c r="BV45">
        <v>81</v>
      </c>
      <c r="BW45">
        <v>87</v>
      </c>
      <c r="BX45">
        <v>85</v>
      </c>
      <c r="BY45">
        <v>89</v>
      </c>
      <c r="BZ45">
        <v>83</v>
      </c>
      <c r="CA45">
        <v>84</v>
      </c>
      <c r="CB45">
        <v>82</v>
      </c>
      <c r="CC45">
        <v>84</v>
      </c>
      <c r="CD45">
        <v>83</v>
      </c>
      <c r="CE45">
        <v>82</v>
      </c>
      <c r="CF45">
        <v>84</v>
      </c>
      <c r="CG45">
        <v>85</v>
      </c>
      <c r="CH45" s="17" t="s">
        <v>1023</v>
      </c>
      <c r="CI45" s="17" t="s">
        <v>1024</v>
      </c>
      <c r="CJ45" s="17" t="s">
        <v>1047</v>
      </c>
      <c r="CK45" s="17" t="s">
        <v>996</v>
      </c>
      <c r="CL45" s="19"/>
      <c r="CM45" s="19"/>
      <c r="CN45" s="20"/>
      <c r="CO45" s="34"/>
      <c r="CP45" s="34"/>
      <c r="CQ45" s="34"/>
      <c r="CR45" s="34"/>
      <c r="CS45" s="34"/>
      <c r="CT45">
        <v>90.6666666666667</v>
      </c>
      <c r="CU45">
        <v>85</v>
      </c>
      <c r="CV45">
        <v>83</v>
      </c>
      <c r="CW45">
        <v>90</v>
      </c>
      <c r="CX45" s="13">
        <v>83.5</v>
      </c>
      <c r="CY45">
        <v>87</v>
      </c>
      <c r="CZ45" s="13">
        <f t="shared" si="0"/>
        <v>83.166666666666671</v>
      </c>
      <c r="DA45" s="13">
        <f t="shared" si="1"/>
        <v>83.666666666666671</v>
      </c>
      <c r="DB45" s="13">
        <f t="shared" si="2"/>
        <v>82</v>
      </c>
      <c r="DC45" s="13">
        <f t="shared" si="3"/>
        <v>86.166666666666671</v>
      </c>
      <c r="DD45" s="13">
        <f t="shared" si="4"/>
        <v>81.5</v>
      </c>
      <c r="DE45" s="13">
        <f t="shared" si="5"/>
        <v>82.5</v>
      </c>
      <c r="DF45" s="13">
        <f t="shared" si="6"/>
        <v>83.25</v>
      </c>
      <c r="DG45" s="13">
        <f t="shared" si="7"/>
        <v>84.5</v>
      </c>
      <c r="DH45" s="13">
        <f t="shared" si="8"/>
        <v>83</v>
      </c>
      <c r="DI45" s="13">
        <f t="shared" si="9"/>
        <v>84</v>
      </c>
      <c r="DJ45" s="13">
        <f t="shared" si="10"/>
        <v>81.5</v>
      </c>
      <c r="DK45" s="13">
        <f t="shared" si="11"/>
        <v>89</v>
      </c>
      <c r="DL45" s="13">
        <f t="shared" si="12"/>
        <v>80</v>
      </c>
      <c r="DM45" s="13">
        <f t="shared" si="13"/>
        <v>90</v>
      </c>
      <c r="DN45" s="13">
        <f t="shared" si="14"/>
        <v>81</v>
      </c>
      <c r="DO45" s="13">
        <f t="shared" si="15"/>
        <v>88</v>
      </c>
      <c r="DP45" s="13">
        <f t="shared" si="16"/>
        <v>85.75</v>
      </c>
      <c r="DQ45" s="13">
        <f t="shared" si="17"/>
        <v>82.75</v>
      </c>
      <c r="DR45" s="13">
        <f t="shared" si="18"/>
        <v>83.5</v>
      </c>
      <c r="DS45">
        <f t="shared" si="19"/>
        <v>85.5</v>
      </c>
      <c r="DT45">
        <f t="shared" si="20"/>
        <v>82</v>
      </c>
      <c r="DU45">
        <f t="shared" si="21"/>
        <v>85</v>
      </c>
      <c r="DV45" s="31">
        <f t="shared" si="22"/>
        <v>84.532738095238088</v>
      </c>
    </row>
    <row r="46" spans="1:126" ht="15.6">
      <c r="A46">
        <v>45</v>
      </c>
      <c r="B46">
        <f>'DATA US'!B59</f>
        <v>222310042</v>
      </c>
      <c r="C46" t="str">
        <f>'DATA US'!C59</f>
        <v>0069805365</v>
      </c>
      <c r="D46">
        <f>'DATA US'!B141</f>
        <v>222310123</v>
      </c>
      <c r="E46" t="str">
        <f>'DATA US'!C141</f>
        <v>0065646956</v>
      </c>
      <c r="F46" t="str">
        <f>'DATA US'!F141</f>
        <v>Bekasi</v>
      </c>
      <c r="G46" s="7" t="s">
        <v>766</v>
      </c>
      <c r="H46" t="str">
        <f>'DATA US'!D141</f>
        <v>IRMA ELITANA</v>
      </c>
      <c r="I46">
        <v>84</v>
      </c>
      <c r="J46">
        <v>81</v>
      </c>
      <c r="K46">
        <v>87</v>
      </c>
      <c r="L46">
        <v>87</v>
      </c>
      <c r="M46">
        <v>83</v>
      </c>
      <c r="N46">
        <v>85</v>
      </c>
      <c r="O46">
        <v>84</v>
      </c>
      <c r="P46">
        <v>86</v>
      </c>
      <c r="Q46">
        <v>84</v>
      </c>
      <c r="R46">
        <v>84</v>
      </c>
      <c r="S46">
        <v>85</v>
      </c>
      <c r="T46">
        <v>86</v>
      </c>
      <c r="U46">
        <v>79</v>
      </c>
      <c r="V46">
        <v>83</v>
      </c>
      <c r="W46">
        <v>84</v>
      </c>
      <c r="X46">
        <v>85</v>
      </c>
      <c r="Y46">
        <v>84</v>
      </c>
      <c r="Z46">
        <v>85</v>
      </c>
      <c r="AA46">
        <v>77</v>
      </c>
      <c r="AB46">
        <v>76</v>
      </c>
      <c r="AC46">
        <v>76</v>
      </c>
      <c r="AD46">
        <v>86</v>
      </c>
      <c r="AE46">
        <v>85</v>
      </c>
      <c r="AF46">
        <v>88</v>
      </c>
      <c r="AG46">
        <v>81</v>
      </c>
      <c r="AH46">
        <v>81</v>
      </c>
      <c r="AI46">
        <v>86</v>
      </c>
      <c r="AJ46">
        <v>86</v>
      </c>
      <c r="AK46">
        <v>87</v>
      </c>
      <c r="AL46">
        <v>88</v>
      </c>
      <c r="AM46">
        <v>85</v>
      </c>
      <c r="AN46">
        <v>88</v>
      </c>
      <c r="AR46">
        <v>81</v>
      </c>
      <c r="AS46">
        <v>81</v>
      </c>
      <c r="AT46">
        <v>81</v>
      </c>
      <c r="AU46">
        <v>82</v>
      </c>
      <c r="AV46">
        <v>88</v>
      </c>
      <c r="AW46">
        <v>83</v>
      </c>
      <c r="AZ46">
        <v>78</v>
      </c>
      <c r="BA46">
        <v>85</v>
      </c>
      <c r="BB46">
        <v>85</v>
      </c>
      <c r="BC46">
        <v>86</v>
      </c>
      <c r="BD46">
        <v>85</v>
      </c>
      <c r="BE46">
        <v>85</v>
      </c>
      <c r="BF46">
        <v>92</v>
      </c>
      <c r="BG46">
        <v>88</v>
      </c>
      <c r="BH46">
        <v>92</v>
      </c>
      <c r="BI46">
        <v>90</v>
      </c>
      <c r="BJ46">
        <v>79</v>
      </c>
      <c r="BK46">
        <v>81</v>
      </c>
      <c r="BL46">
        <v>81</v>
      </c>
      <c r="BM46">
        <v>83</v>
      </c>
      <c r="BN46">
        <v>86</v>
      </c>
      <c r="BO46">
        <v>86</v>
      </c>
      <c r="BP46">
        <v>84</v>
      </c>
      <c r="BQ46">
        <v>85</v>
      </c>
      <c r="BR46" s="13">
        <v>90</v>
      </c>
      <c r="BS46">
        <v>88</v>
      </c>
      <c r="BT46">
        <v>90</v>
      </c>
      <c r="BU46">
        <v>90</v>
      </c>
      <c r="BV46">
        <v>85</v>
      </c>
      <c r="BW46">
        <v>85</v>
      </c>
      <c r="BX46">
        <v>86</v>
      </c>
      <c r="BY46">
        <v>91</v>
      </c>
      <c r="BZ46">
        <v>83</v>
      </c>
      <c r="CA46">
        <v>85</v>
      </c>
      <c r="CB46">
        <v>82</v>
      </c>
      <c r="CC46">
        <v>85</v>
      </c>
      <c r="CD46">
        <v>83</v>
      </c>
      <c r="CE46">
        <v>82</v>
      </c>
      <c r="CF46">
        <v>84</v>
      </c>
      <c r="CG46">
        <v>86</v>
      </c>
      <c r="CH46" s="17" t="s">
        <v>1215</v>
      </c>
      <c r="CI46" s="21" t="s">
        <v>1216</v>
      </c>
      <c r="CJ46" s="17" t="s">
        <v>1212</v>
      </c>
      <c r="CK46" s="17" t="s">
        <v>996</v>
      </c>
      <c r="CT46">
        <v>89.3333333333333</v>
      </c>
      <c r="CU46">
        <v>84.3333333333333</v>
      </c>
      <c r="CV46">
        <v>84</v>
      </c>
      <c r="CW46">
        <v>86</v>
      </c>
      <c r="CX46" s="13">
        <v>86.5</v>
      </c>
      <c r="CY46">
        <v>87</v>
      </c>
      <c r="CZ46" s="13">
        <f t="shared" si="0"/>
        <v>84.5</v>
      </c>
      <c r="DA46" s="13">
        <f t="shared" si="1"/>
        <v>84.833333333333329</v>
      </c>
      <c r="DB46" s="13">
        <f t="shared" si="2"/>
        <v>81.333333333333329</v>
      </c>
      <c r="DC46" s="13">
        <f t="shared" si="3"/>
        <v>83.333333333333329</v>
      </c>
      <c r="DD46" s="13">
        <f t="shared" si="4"/>
        <v>84.833333333333329</v>
      </c>
      <c r="DE46" s="13">
        <f t="shared" si="5"/>
        <v>81</v>
      </c>
      <c r="DF46" s="13">
        <f t="shared" si="6"/>
        <v>83.5</v>
      </c>
      <c r="DG46" s="13">
        <f t="shared" si="7"/>
        <v>85</v>
      </c>
      <c r="DH46" s="13">
        <f t="shared" si="8"/>
        <v>85</v>
      </c>
      <c r="DI46" s="13">
        <f t="shared" si="9"/>
        <v>85.5</v>
      </c>
      <c r="DJ46" s="13">
        <f t="shared" si="10"/>
        <v>81.5</v>
      </c>
      <c r="DK46" s="13">
        <f t="shared" si="11"/>
        <v>90</v>
      </c>
      <c r="DL46" s="13">
        <f t="shared" si="12"/>
        <v>80</v>
      </c>
      <c r="DM46" s="13">
        <f t="shared" si="13"/>
        <v>91</v>
      </c>
      <c r="DN46" s="13">
        <f t="shared" si="14"/>
        <v>82</v>
      </c>
      <c r="DO46" s="13">
        <f t="shared" si="15"/>
        <v>89.5</v>
      </c>
      <c r="DP46" s="13">
        <f t="shared" si="16"/>
        <v>85.25</v>
      </c>
      <c r="DQ46" s="13">
        <f t="shared" si="17"/>
        <v>83</v>
      </c>
      <c r="DR46" s="13">
        <f t="shared" si="18"/>
        <v>84</v>
      </c>
      <c r="DS46">
        <f t="shared" si="19"/>
        <v>86.75</v>
      </c>
      <c r="DT46">
        <f t="shared" si="20"/>
        <v>81.333333333333329</v>
      </c>
      <c r="DU46">
        <f t="shared" si="21"/>
        <v>86.5</v>
      </c>
      <c r="DV46" s="31">
        <f t="shared" si="22"/>
        <v>84.886904761904773</v>
      </c>
    </row>
    <row r="47" spans="1:126">
      <c r="A47">
        <v>46</v>
      </c>
      <c r="B47">
        <f>'DATA US'!B60</f>
        <v>222310043</v>
      </c>
      <c r="C47" t="str">
        <f>'DATA US'!C60</f>
        <v>0061289805</v>
      </c>
      <c r="D47">
        <f>'DATA US'!B142</f>
        <v>222310124</v>
      </c>
      <c r="E47" t="str">
        <f>'DATA US'!C142</f>
        <v>0061468832</v>
      </c>
      <c r="F47" t="str">
        <f>'DATA US'!F142</f>
        <v>Bekasi</v>
      </c>
      <c r="G47" s="7" t="s">
        <v>771</v>
      </c>
      <c r="H47" t="str">
        <f>'DATA US'!D142</f>
        <v>LUFI RAMADHANI</v>
      </c>
      <c r="I47">
        <v>85</v>
      </c>
      <c r="J47">
        <v>83</v>
      </c>
      <c r="K47">
        <v>90</v>
      </c>
      <c r="L47">
        <v>87</v>
      </c>
      <c r="M47">
        <v>85</v>
      </c>
      <c r="N47">
        <v>86</v>
      </c>
      <c r="O47">
        <v>84</v>
      </c>
      <c r="P47">
        <v>85</v>
      </c>
      <c r="Q47">
        <v>86</v>
      </c>
      <c r="R47">
        <v>84</v>
      </c>
      <c r="S47">
        <v>86</v>
      </c>
      <c r="T47">
        <v>88</v>
      </c>
      <c r="U47">
        <v>79</v>
      </c>
      <c r="V47">
        <v>83</v>
      </c>
      <c r="W47">
        <v>91</v>
      </c>
      <c r="X47">
        <v>92</v>
      </c>
      <c r="Y47">
        <v>90</v>
      </c>
      <c r="Z47">
        <v>90</v>
      </c>
      <c r="AA47">
        <v>78</v>
      </c>
      <c r="AB47">
        <v>81</v>
      </c>
      <c r="AC47">
        <v>81</v>
      </c>
      <c r="AD47">
        <v>84</v>
      </c>
      <c r="AE47">
        <v>88</v>
      </c>
      <c r="AF47">
        <v>87</v>
      </c>
      <c r="AG47">
        <v>82</v>
      </c>
      <c r="AH47">
        <v>83</v>
      </c>
      <c r="AI47">
        <v>87</v>
      </c>
      <c r="AJ47">
        <v>85</v>
      </c>
      <c r="AK47">
        <v>89</v>
      </c>
      <c r="AL47">
        <v>90</v>
      </c>
      <c r="AM47">
        <v>86</v>
      </c>
      <c r="AN47">
        <v>88</v>
      </c>
      <c r="AR47">
        <v>85</v>
      </c>
      <c r="AS47">
        <v>83</v>
      </c>
      <c r="AT47">
        <v>80</v>
      </c>
      <c r="AU47">
        <v>81</v>
      </c>
      <c r="AV47">
        <v>90</v>
      </c>
      <c r="AW47">
        <v>85</v>
      </c>
      <c r="AZ47">
        <v>80</v>
      </c>
      <c r="BA47">
        <v>86</v>
      </c>
      <c r="BB47">
        <v>84</v>
      </c>
      <c r="BC47">
        <v>84</v>
      </c>
      <c r="BD47">
        <v>83</v>
      </c>
      <c r="BE47">
        <v>83</v>
      </c>
      <c r="BF47">
        <v>94</v>
      </c>
      <c r="BG47">
        <v>89</v>
      </c>
      <c r="BH47">
        <v>95</v>
      </c>
      <c r="BI47">
        <v>91</v>
      </c>
      <c r="BJ47">
        <v>80</v>
      </c>
      <c r="BK47">
        <v>85</v>
      </c>
      <c r="BL47">
        <v>86</v>
      </c>
      <c r="BM47">
        <v>88</v>
      </c>
      <c r="BN47">
        <v>90</v>
      </c>
      <c r="BO47">
        <v>90</v>
      </c>
      <c r="BP47">
        <v>84</v>
      </c>
      <c r="BQ47">
        <v>85</v>
      </c>
      <c r="BR47" s="13">
        <v>92</v>
      </c>
      <c r="BS47">
        <v>87</v>
      </c>
      <c r="BT47">
        <v>90</v>
      </c>
      <c r="BU47">
        <v>89</v>
      </c>
      <c r="BV47">
        <v>86</v>
      </c>
      <c r="BW47">
        <v>88</v>
      </c>
      <c r="BX47">
        <v>86</v>
      </c>
      <c r="BY47">
        <v>90</v>
      </c>
      <c r="BZ47">
        <v>82</v>
      </c>
      <c r="CA47">
        <v>84</v>
      </c>
      <c r="CB47">
        <v>82</v>
      </c>
      <c r="CC47">
        <v>86</v>
      </c>
      <c r="CD47">
        <v>84</v>
      </c>
      <c r="CE47">
        <v>82</v>
      </c>
      <c r="CF47">
        <v>84</v>
      </c>
      <c r="CG47">
        <v>90</v>
      </c>
      <c r="CH47" s="18" t="s">
        <v>1217</v>
      </c>
      <c r="CI47" s="18" t="s">
        <v>1013</v>
      </c>
      <c r="CJ47" s="18" t="s">
        <v>1151</v>
      </c>
      <c r="CK47" s="18" t="s">
        <v>1000</v>
      </c>
      <c r="CT47">
        <v>90.3333333333333</v>
      </c>
      <c r="CU47">
        <v>86</v>
      </c>
      <c r="CV47">
        <v>91</v>
      </c>
      <c r="CW47">
        <v>89</v>
      </c>
      <c r="CX47" s="13">
        <v>83.5</v>
      </c>
      <c r="CY47">
        <v>90</v>
      </c>
      <c r="CZ47" s="13">
        <f t="shared" si="0"/>
        <v>86</v>
      </c>
      <c r="DA47" s="13">
        <f t="shared" si="1"/>
        <v>85.5</v>
      </c>
      <c r="DB47" s="13">
        <f t="shared" si="2"/>
        <v>83.166666666666671</v>
      </c>
      <c r="DC47" s="13">
        <f t="shared" si="3"/>
        <v>87.5</v>
      </c>
      <c r="DD47" s="13">
        <f t="shared" si="4"/>
        <v>86</v>
      </c>
      <c r="DE47" s="13">
        <f t="shared" si="5"/>
        <v>84</v>
      </c>
      <c r="DF47" s="13">
        <f t="shared" si="6"/>
        <v>84</v>
      </c>
      <c r="DG47" s="13">
        <f t="shared" si="7"/>
        <v>87</v>
      </c>
      <c r="DH47" s="13">
        <f t="shared" si="8"/>
        <v>83</v>
      </c>
      <c r="DI47" s="13">
        <f t="shared" si="9"/>
        <v>84</v>
      </c>
      <c r="DJ47" s="13">
        <f t="shared" si="10"/>
        <v>83</v>
      </c>
      <c r="DK47" s="13">
        <f t="shared" si="11"/>
        <v>91.5</v>
      </c>
      <c r="DL47" s="13">
        <f t="shared" si="12"/>
        <v>82.5</v>
      </c>
      <c r="DM47" s="13">
        <f t="shared" si="13"/>
        <v>93</v>
      </c>
      <c r="DN47" s="13">
        <f t="shared" si="14"/>
        <v>87</v>
      </c>
      <c r="DO47" s="13">
        <f t="shared" si="15"/>
        <v>89.5</v>
      </c>
      <c r="DP47" s="13">
        <f t="shared" si="16"/>
        <v>87.25</v>
      </c>
      <c r="DQ47" s="13">
        <f t="shared" si="17"/>
        <v>83.5</v>
      </c>
      <c r="DR47" s="13">
        <f t="shared" si="18"/>
        <v>83</v>
      </c>
      <c r="DS47">
        <f t="shared" si="19"/>
        <v>87.5</v>
      </c>
      <c r="DT47">
        <f t="shared" si="20"/>
        <v>83.166666666666671</v>
      </c>
      <c r="DU47">
        <f t="shared" si="21"/>
        <v>87</v>
      </c>
      <c r="DV47" s="31">
        <f t="shared" si="22"/>
        <v>86.354166666666657</v>
      </c>
    </row>
    <row r="48" spans="1:126">
      <c r="A48">
        <v>47</v>
      </c>
      <c r="B48">
        <f>'DATA US'!B61</f>
        <v>222310044</v>
      </c>
      <c r="C48" t="str">
        <f>'DATA US'!C61</f>
        <v>0064789350</v>
      </c>
      <c r="D48">
        <f>'DATA US'!B143</f>
        <v>222310129</v>
      </c>
      <c r="E48" t="str">
        <f>'DATA US'!C143</f>
        <v>0077314727</v>
      </c>
      <c r="F48" t="str">
        <f>'DATA US'!F143</f>
        <v>Bekasi</v>
      </c>
      <c r="G48" s="7" t="s">
        <v>777</v>
      </c>
      <c r="H48" t="str">
        <f>'DATA US'!D143</f>
        <v>M. REUBEN ARFAQI AGUSTIAN</v>
      </c>
      <c r="I48">
        <v>81</v>
      </c>
      <c r="J48">
        <v>79</v>
      </c>
      <c r="K48">
        <v>86</v>
      </c>
      <c r="L48">
        <v>87</v>
      </c>
      <c r="M48">
        <v>83</v>
      </c>
      <c r="N48">
        <v>84</v>
      </c>
      <c r="O48">
        <v>82</v>
      </c>
      <c r="P48">
        <v>83</v>
      </c>
      <c r="Q48">
        <v>83</v>
      </c>
      <c r="R48">
        <v>83</v>
      </c>
      <c r="S48">
        <v>84</v>
      </c>
      <c r="T48">
        <v>85</v>
      </c>
      <c r="U48">
        <v>79</v>
      </c>
      <c r="V48">
        <v>83</v>
      </c>
      <c r="W48">
        <v>93</v>
      </c>
      <c r="X48">
        <v>90</v>
      </c>
      <c r="Y48">
        <v>86</v>
      </c>
      <c r="Z48">
        <v>90</v>
      </c>
      <c r="AA48">
        <v>78</v>
      </c>
      <c r="AB48">
        <v>75</v>
      </c>
      <c r="AC48">
        <v>75</v>
      </c>
      <c r="AD48">
        <v>85</v>
      </c>
      <c r="AE48">
        <v>88</v>
      </c>
      <c r="AF48">
        <v>86</v>
      </c>
      <c r="AG48">
        <v>82</v>
      </c>
      <c r="AH48">
        <v>79</v>
      </c>
      <c r="AI48">
        <v>87</v>
      </c>
      <c r="AJ48">
        <v>85</v>
      </c>
      <c r="AK48">
        <v>86</v>
      </c>
      <c r="AL48">
        <v>87</v>
      </c>
      <c r="AM48">
        <v>85</v>
      </c>
      <c r="AN48">
        <v>85</v>
      </c>
      <c r="AR48">
        <v>82</v>
      </c>
      <c r="AS48">
        <v>84</v>
      </c>
      <c r="AT48">
        <v>80</v>
      </c>
      <c r="AU48">
        <v>82</v>
      </c>
      <c r="AV48">
        <v>90</v>
      </c>
      <c r="AW48">
        <v>84</v>
      </c>
      <c r="AZ48">
        <v>79</v>
      </c>
      <c r="BA48">
        <v>82</v>
      </c>
      <c r="BB48">
        <v>84</v>
      </c>
      <c r="BC48">
        <v>84</v>
      </c>
      <c r="BD48">
        <v>84</v>
      </c>
      <c r="BE48">
        <v>84</v>
      </c>
      <c r="BF48">
        <v>91</v>
      </c>
      <c r="BG48">
        <v>85</v>
      </c>
      <c r="BH48">
        <v>90</v>
      </c>
      <c r="BI48">
        <v>88</v>
      </c>
      <c r="BJ48">
        <v>79</v>
      </c>
      <c r="BK48">
        <v>82</v>
      </c>
      <c r="BL48">
        <v>82</v>
      </c>
      <c r="BM48">
        <v>84</v>
      </c>
      <c r="BN48">
        <v>81</v>
      </c>
      <c r="BO48">
        <v>80</v>
      </c>
      <c r="BP48">
        <v>85</v>
      </c>
      <c r="BQ48">
        <v>86</v>
      </c>
      <c r="BR48" s="13">
        <v>86</v>
      </c>
      <c r="BS48">
        <v>87</v>
      </c>
      <c r="BT48">
        <v>90</v>
      </c>
      <c r="BU48">
        <v>87</v>
      </c>
      <c r="BV48">
        <v>81</v>
      </c>
      <c r="BW48">
        <v>85</v>
      </c>
      <c r="BX48">
        <v>85</v>
      </c>
      <c r="BY48">
        <v>88</v>
      </c>
      <c r="BZ48">
        <v>83</v>
      </c>
      <c r="CA48">
        <v>85</v>
      </c>
      <c r="CB48">
        <v>79</v>
      </c>
      <c r="CC48">
        <v>83</v>
      </c>
      <c r="CD48">
        <v>81</v>
      </c>
      <c r="CE48">
        <v>82</v>
      </c>
      <c r="CF48">
        <v>84</v>
      </c>
      <c r="CG48">
        <v>85</v>
      </c>
      <c r="CH48" s="17" t="s">
        <v>1023</v>
      </c>
      <c r="CI48" s="17" t="s">
        <v>1024</v>
      </c>
      <c r="CJ48" s="19" t="s">
        <v>1103</v>
      </c>
      <c r="CK48" s="17" t="s">
        <v>996</v>
      </c>
      <c r="CT48">
        <v>90.6666666666667</v>
      </c>
      <c r="CU48">
        <v>85</v>
      </c>
      <c r="CV48">
        <v>90</v>
      </c>
      <c r="CW48">
        <v>81</v>
      </c>
      <c r="CX48" s="13">
        <v>83.5</v>
      </c>
      <c r="CY48">
        <v>85</v>
      </c>
      <c r="CZ48" s="13">
        <f t="shared" si="0"/>
        <v>83.333333333333329</v>
      </c>
      <c r="DA48" s="13">
        <f t="shared" si="1"/>
        <v>83.333333333333329</v>
      </c>
      <c r="DB48" s="13">
        <f t="shared" si="2"/>
        <v>81.166666666666671</v>
      </c>
      <c r="DC48" s="13">
        <f t="shared" si="3"/>
        <v>86.833333333333329</v>
      </c>
      <c r="DD48" s="13">
        <f t="shared" si="4"/>
        <v>84.333333333333329</v>
      </c>
      <c r="DE48" s="13">
        <f t="shared" si="5"/>
        <v>83</v>
      </c>
      <c r="DF48" s="13">
        <f t="shared" si="6"/>
        <v>84</v>
      </c>
      <c r="DG48" s="13">
        <f t="shared" si="7"/>
        <v>84.5</v>
      </c>
      <c r="DH48" s="13">
        <f t="shared" si="8"/>
        <v>84</v>
      </c>
      <c r="DI48" s="13">
        <f t="shared" si="9"/>
        <v>84</v>
      </c>
      <c r="DJ48" s="13">
        <f t="shared" si="10"/>
        <v>80.5</v>
      </c>
      <c r="DK48" s="13">
        <f t="shared" si="11"/>
        <v>88</v>
      </c>
      <c r="DL48" s="13">
        <f t="shared" si="12"/>
        <v>80.5</v>
      </c>
      <c r="DM48" s="13">
        <f t="shared" si="13"/>
        <v>89</v>
      </c>
      <c r="DN48" s="13">
        <f t="shared" si="14"/>
        <v>83</v>
      </c>
      <c r="DO48" s="13">
        <f t="shared" si="15"/>
        <v>87.5</v>
      </c>
      <c r="DP48" s="13">
        <f t="shared" si="16"/>
        <v>83</v>
      </c>
      <c r="DQ48" s="13">
        <f t="shared" si="17"/>
        <v>81.25</v>
      </c>
      <c r="DR48" s="13">
        <f t="shared" si="18"/>
        <v>84</v>
      </c>
      <c r="DS48">
        <f t="shared" si="19"/>
        <v>84.75</v>
      </c>
      <c r="DT48">
        <f t="shared" si="20"/>
        <v>81.166666666666671</v>
      </c>
      <c r="DU48">
        <f t="shared" si="21"/>
        <v>85</v>
      </c>
      <c r="DV48" s="31">
        <f t="shared" si="22"/>
        <v>84.333333333333343</v>
      </c>
    </row>
    <row r="49" spans="1:126" ht="15.6">
      <c r="A49">
        <v>48</v>
      </c>
      <c r="B49">
        <f>'DATA US'!B62</f>
        <v>222310045</v>
      </c>
      <c r="C49" t="str">
        <f>'DATA US'!C62</f>
        <v>0062164345</v>
      </c>
      <c r="D49">
        <f>'DATA US'!B144</f>
        <v>222310130</v>
      </c>
      <c r="E49" t="str">
        <f>'DATA US'!C144</f>
        <v>0078743168</v>
      </c>
      <c r="F49" t="str">
        <f>'DATA US'!F144</f>
        <v>Bekasi</v>
      </c>
      <c r="G49" s="7" t="s">
        <v>783</v>
      </c>
      <c r="H49" t="str">
        <f>'DATA US'!D144</f>
        <v>MUHAMMAD TAUPIQ NUR SALEH</v>
      </c>
      <c r="I49">
        <v>83</v>
      </c>
      <c r="J49">
        <v>81</v>
      </c>
      <c r="K49">
        <v>85</v>
      </c>
      <c r="L49">
        <v>84</v>
      </c>
      <c r="M49">
        <v>84</v>
      </c>
      <c r="N49">
        <v>84</v>
      </c>
      <c r="O49">
        <v>84</v>
      </c>
      <c r="P49">
        <v>86</v>
      </c>
      <c r="Q49">
        <v>83</v>
      </c>
      <c r="R49">
        <v>82</v>
      </c>
      <c r="S49">
        <v>85</v>
      </c>
      <c r="T49">
        <v>86</v>
      </c>
      <c r="U49">
        <v>79</v>
      </c>
      <c r="V49">
        <v>80</v>
      </c>
      <c r="W49">
        <v>81</v>
      </c>
      <c r="X49">
        <v>81</v>
      </c>
      <c r="Y49">
        <v>82</v>
      </c>
      <c r="Z49">
        <v>83</v>
      </c>
      <c r="AA49">
        <v>75</v>
      </c>
      <c r="AB49">
        <v>75</v>
      </c>
      <c r="AC49">
        <v>75</v>
      </c>
      <c r="AD49">
        <v>84</v>
      </c>
      <c r="AE49">
        <v>85</v>
      </c>
      <c r="AF49">
        <v>85</v>
      </c>
      <c r="AG49">
        <v>83</v>
      </c>
      <c r="AH49">
        <v>81</v>
      </c>
      <c r="AI49">
        <v>82</v>
      </c>
      <c r="AJ49">
        <v>84</v>
      </c>
      <c r="AK49">
        <v>86</v>
      </c>
      <c r="AL49">
        <v>92</v>
      </c>
      <c r="AM49">
        <v>83</v>
      </c>
      <c r="AN49">
        <v>86</v>
      </c>
      <c r="AR49">
        <v>82</v>
      </c>
      <c r="AS49">
        <v>80</v>
      </c>
      <c r="AT49">
        <v>80</v>
      </c>
      <c r="AU49">
        <v>81</v>
      </c>
      <c r="AV49">
        <v>86</v>
      </c>
      <c r="AW49">
        <v>83</v>
      </c>
      <c r="AZ49">
        <v>77</v>
      </c>
      <c r="BA49">
        <v>85</v>
      </c>
      <c r="BB49">
        <v>84</v>
      </c>
      <c r="BC49">
        <v>84</v>
      </c>
      <c r="BD49">
        <v>84</v>
      </c>
      <c r="BE49">
        <v>84</v>
      </c>
      <c r="BF49">
        <v>92</v>
      </c>
      <c r="BG49">
        <v>86</v>
      </c>
      <c r="BH49">
        <v>92</v>
      </c>
      <c r="BI49">
        <v>93</v>
      </c>
      <c r="BJ49">
        <v>78</v>
      </c>
      <c r="BK49">
        <v>81</v>
      </c>
      <c r="BL49">
        <v>79</v>
      </c>
      <c r="BM49">
        <v>82</v>
      </c>
      <c r="BN49">
        <v>84</v>
      </c>
      <c r="BO49">
        <v>84</v>
      </c>
      <c r="BP49">
        <v>84</v>
      </c>
      <c r="BQ49">
        <v>85</v>
      </c>
      <c r="BR49" s="13">
        <v>85</v>
      </c>
      <c r="BS49">
        <v>84</v>
      </c>
      <c r="BT49">
        <v>90</v>
      </c>
      <c r="BU49">
        <v>89</v>
      </c>
      <c r="BV49">
        <v>79</v>
      </c>
      <c r="BW49">
        <v>86</v>
      </c>
      <c r="BX49">
        <v>86</v>
      </c>
      <c r="BY49">
        <v>88</v>
      </c>
      <c r="BZ49">
        <v>83</v>
      </c>
      <c r="CA49">
        <v>84</v>
      </c>
      <c r="CB49">
        <v>79</v>
      </c>
      <c r="CC49">
        <v>83</v>
      </c>
      <c r="CD49">
        <v>84</v>
      </c>
      <c r="CE49">
        <v>82</v>
      </c>
      <c r="CF49">
        <v>84</v>
      </c>
      <c r="CG49">
        <v>86</v>
      </c>
      <c r="CH49" s="17" t="s">
        <v>1033</v>
      </c>
      <c r="CI49" s="21" t="s">
        <v>1216</v>
      </c>
      <c r="CJ49" s="17" t="s">
        <v>1226</v>
      </c>
      <c r="CK49" s="17" t="s">
        <v>996</v>
      </c>
      <c r="CT49">
        <v>88.3333333333333</v>
      </c>
      <c r="CU49">
        <v>84.3333333333333</v>
      </c>
      <c r="CV49">
        <v>92</v>
      </c>
      <c r="CW49">
        <v>89</v>
      </c>
      <c r="CX49" s="13">
        <v>83.5</v>
      </c>
      <c r="CY49">
        <v>87</v>
      </c>
      <c r="CZ49" s="13">
        <f t="shared" si="0"/>
        <v>83.5</v>
      </c>
      <c r="DA49" s="13">
        <f t="shared" si="1"/>
        <v>84.333333333333329</v>
      </c>
      <c r="DB49" s="13">
        <f t="shared" si="2"/>
        <v>79.833333333333329</v>
      </c>
      <c r="DC49" s="13">
        <f t="shared" si="3"/>
        <v>81</v>
      </c>
      <c r="DD49" s="13">
        <f t="shared" si="4"/>
        <v>84.666666666666671</v>
      </c>
      <c r="DE49" s="13">
        <f t="shared" si="5"/>
        <v>81</v>
      </c>
      <c r="DF49" s="13">
        <f t="shared" si="6"/>
        <v>82.5</v>
      </c>
      <c r="DG49" s="13">
        <f t="shared" si="7"/>
        <v>85</v>
      </c>
      <c r="DH49" s="13">
        <f t="shared" si="8"/>
        <v>84</v>
      </c>
      <c r="DI49" s="13">
        <f t="shared" si="9"/>
        <v>84</v>
      </c>
      <c r="DJ49" s="13">
        <f t="shared" si="10"/>
        <v>81</v>
      </c>
      <c r="DK49" s="13">
        <f t="shared" si="11"/>
        <v>89</v>
      </c>
      <c r="DL49" s="13">
        <f t="shared" si="12"/>
        <v>79.5</v>
      </c>
      <c r="DM49" s="13">
        <f t="shared" si="13"/>
        <v>92.5</v>
      </c>
      <c r="DN49" s="13">
        <f t="shared" si="14"/>
        <v>80.5</v>
      </c>
      <c r="DO49" s="13">
        <f t="shared" si="15"/>
        <v>87</v>
      </c>
      <c r="DP49" s="13">
        <f t="shared" si="16"/>
        <v>84.25</v>
      </c>
      <c r="DQ49" s="13">
        <f t="shared" si="17"/>
        <v>82</v>
      </c>
      <c r="DR49" s="13">
        <f t="shared" si="18"/>
        <v>83.5</v>
      </c>
      <c r="DS49">
        <f t="shared" si="19"/>
        <v>84.75</v>
      </c>
      <c r="DT49">
        <f t="shared" si="20"/>
        <v>79.833333333333329</v>
      </c>
      <c r="DU49">
        <f t="shared" si="21"/>
        <v>84.5</v>
      </c>
      <c r="DV49" s="31">
        <f t="shared" si="22"/>
        <v>84.36904761904762</v>
      </c>
    </row>
    <row r="50" spans="1:126">
      <c r="A50">
        <v>49</v>
      </c>
      <c r="B50">
        <f>'DATA US'!B63</f>
        <v>222310047</v>
      </c>
      <c r="C50" t="str">
        <f>'DATA US'!C63</f>
        <v>0078523307</v>
      </c>
      <c r="D50">
        <f>'DATA US'!B145</f>
        <v>222310125</v>
      </c>
      <c r="E50" t="str">
        <f>'DATA US'!C145</f>
        <v>0067588196</v>
      </c>
      <c r="F50" t="str">
        <f>'DATA US'!F145</f>
        <v>Bekasi</v>
      </c>
      <c r="G50" s="7" t="s">
        <v>788</v>
      </c>
      <c r="H50" t="str">
        <f>'DATA US'!D145</f>
        <v>MARYATI</v>
      </c>
      <c r="I50">
        <v>80</v>
      </c>
      <c r="J50">
        <v>77</v>
      </c>
      <c r="K50">
        <v>85</v>
      </c>
      <c r="L50">
        <v>84</v>
      </c>
      <c r="M50">
        <v>83</v>
      </c>
      <c r="N50">
        <v>85</v>
      </c>
      <c r="O50">
        <v>81</v>
      </c>
      <c r="P50">
        <v>84</v>
      </c>
      <c r="Q50">
        <v>83</v>
      </c>
      <c r="R50">
        <v>82</v>
      </c>
      <c r="S50">
        <v>84</v>
      </c>
      <c r="T50">
        <v>85</v>
      </c>
      <c r="U50">
        <v>78</v>
      </c>
      <c r="V50">
        <v>83</v>
      </c>
      <c r="W50">
        <v>86</v>
      </c>
      <c r="X50">
        <v>87</v>
      </c>
      <c r="Y50">
        <v>85</v>
      </c>
      <c r="Z50">
        <v>86</v>
      </c>
      <c r="AA50">
        <v>75</v>
      </c>
      <c r="AB50">
        <v>75</v>
      </c>
      <c r="AC50">
        <v>75</v>
      </c>
      <c r="AD50">
        <v>84</v>
      </c>
      <c r="AE50">
        <v>86</v>
      </c>
      <c r="AF50">
        <v>89</v>
      </c>
      <c r="AG50">
        <v>79</v>
      </c>
      <c r="AH50">
        <v>77</v>
      </c>
      <c r="AI50">
        <v>83</v>
      </c>
      <c r="AJ50">
        <v>85</v>
      </c>
      <c r="AK50">
        <v>87</v>
      </c>
      <c r="AL50">
        <v>90</v>
      </c>
      <c r="AM50">
        <v>83</v>
      </c>
      <c r="AN50">
        <v>86</v>
      </c>
      <c r="AR50">
        <v>81</v>
      </c>
      <c r="AS50">
        <v>80</v>
      </c>
      <c r="AT50">
        <v>81</v>
      </c>
      <c r="AU50">
        <v>81</v>
      </c>
      <c r="AV50">
        <v>86</v>
      </c>
      <c r="AW50">
        <v>85</v>
      </c>
      <c r="AZ50">
        <v>77</v>
      </c>
      <c r="BA50">
        <v>84</v>
      </c>
      <c r="BB50">
        <v>83</v>
      </c>
      <c r="BC50">
        <v>83</v>
      </c>
      <c r="BD50">
        <v>84</v>
      </c>
      <c r="BE50">
        <v>84</v>
      </c>
      <c r="BF50">
        <v>85</v>
      </c>
      <c r="BG50">
        <v>83</v>
      </c>
      <c r="BH50">
        <v>85</v>
      </c>
      <c r="BI50">
        <v>89</v>
      </c>
      <c r="BJ50">
        <v>77</v>
      </c>
      <c r="BK50">
        <v>82</v>
      </c>
      <c r="BL50">
        <v>81</v>
      </c>
      <c r="BM50">
        <v>83</v>
      </c>
      <c r="BN50">
        <v>84</v>
      </c>
      <c r="BO50">
        <v>84</v>
      </c>
      <c r="BP50">
        <v>84</v>
      </c>
      <c r="BQ50">
        <v>86</v>
      </c>
      <c r="BR50" s="13">
        <v>85</v>
      </c>
      <c r="BS50">
        <v>86</v>
      </c>
      <c r="BT50">
        <v>88</v>
      </c>
      <c r="BU50">
        <v>90</v>
      </c>
      <c r="BV50">
        <v>82</v>
      </c>
      <c r="BW50">
        <v>87</v>
      </c>
      <c r="BX50">
        <v>85</v>
      </c>
      <c r="BY50">
        <v>91</v>
      </c>
      <c r="BZ50">
        <v>82</v>
      </c>
      <c r="CA50">
        <v>84</v>
      </c>
      <c r="CB50">
        <v>80</v>
      </c>
      <c r="CC50">
        <v>84</v>
      </c>
      <c r="CD50">
        <v>83</v>
      </c>
      <c r="CE50">
        <v>82</v>
      </c>
      <c r="CF50">
        <v>81</v>
      </c>
      <c r="CG50">
        <v>85</v>
      </c>
      <c r="CH50" s="17" t="s">
        <v>1144</v>
      </c>
      <c r="CI50" s="17" t="s">
        <v>1145</v>
      </c>
      <c r="CJ50" s="17" t="s">
        <v>1146</v>
      </c>
      <c r="CK50" s="17" t="s">
        <v>996</v>
      </c>
      <c r="CT50">
        <v>90.6666666666667</v>
      </c>
      <c r="CU50">
        <v>84</v>
      </c>
      <c r="CV50">
        <v>87</v>
      </c>
      <c r="CW50">
        <v>80</v>
      </c>
      <c r="CX50" s="13">
        <v>83.5</v>
      </c>
      <c r="CY50">
        <v>85</v>
      </c>
      <c r="CZ50" s="13">
        <f t="shared" si="0"/>
        <v>82.333333333333329</v>
      </c>
      <c r="DA50" s="13">
        <f t="shared" si="1"/>
        <v>83.166666666666671</v>
      </c>
      <c r="DB50" s="13">
        <f t="shared" si="2"/>
        <v>80.666666666666671</v>
      </c>
      <c r="DC50" s="13">
        <f t="shared" si="3"/>
        <v>84.166666666666671</v>
      </c>
      <c r="DD50" s="13">
        <f t="shared" si="4"/>
        <v>83.5</v>
      </c>
      <c r="DE50" s="13">
        <f t="shared" si="5"/>
        <v>80.5</v>
      </c>
      <c r="DF50" s="13">
        <f t="shared" si="6"/>
        <v>83.25</v>
      </c>
      <c r="DG50" s="13">
        <f t="shared" si="7"/>
        <v>83</v>
      </c>
      <c r="DH50" s="13">
        <f t="shared" si="8"/>
        <v>84</v>
      </c>
      <c r="DI50" s="13">
        <f t="shared" si="9"/>
        <v>83</v>
      </c>
      <c r="DJ50" s="13">
        <f t="shared" si="10"/>
        <v>80.5</v>
      </c>
      <c r="DK50" s="13">
        <f t="shared" si="11"/>
        <v>84</v>
      </c>
      <c r="DL50" s="13">
        <f t="shared" si="12"/>
        <v>79.5</v>
      </c>
      <c r="DM50" s="13">
        <f t="shared" si="13"/>
        <v>87</v>
      </c>
      <c r="DN50" s="13">
        <f t="shared" si="14"/>
        <v>82</v>
      </c>
      <c r="DO50" s="13">
        <f t="shared" si="15"/>
        <v>87.25</v>
      </c>
      <c r="DP50" s="13">
        <f t="shared" si="16"/>
        <v>84.5</v>
      </c>
      <c r="DQ50" s="13">
        <f t="shared" si="17"/>
        <v>82.25</v>
      </c>
      <c r="DR50" s="13">
        <f t="shared" si="18"/>
        <v>83</v>
      </c>
      <c r="DS50">
        <f t="shared" si="19"/>
        <v>86.25</v>
      </c>
      <c r="DT50">
        <f t="shared" si="20"/>
        <v>80.666666666666671</v>
      </c>
      <c r="DU50">
        <f t="shared" si="21"/>
        <v>84.5</v>
      </c>
      <c r="DV50" s="31">
        <f t="shared" si="22"/>
        <v>83.541666666666657</v>
      </c>
    </row>
    <row r="51" spans="1:126" ht="15.6">
      <c r="A51">
        <v>50</v>
      </c>
      <c r="B51">
        <f>'DATA US'!B64</f>
        <v>222310048</v>
      </c>
      <c r="C51" t="str">
        <f>'DATA US'!C64</f>
        <v>0075254799</v>
      </c>
      <c r="D51">
        <f>'DATA US'!B146</f>
        <v>222310126</v>
      </c>
      <c r="E51" t="str">
        <f>'DATA US'!C146</f>
        <v>0062811006</v>
      </c>
      <c r="F51" t="str">
        <f>'DATA US'!F146</f>
        <v>Bekasi</v>
      </c>
      <c r="G51" s="7" t="s">
        <v>793</v>
      </c>
      <c r="H51" t="str">
        <f>'DATA US'!D146</f>
        <v>MEISYA DITA KHOIRUNISA</v>
      </c>
      <c r="I51">
        <v>80</v>
      </c>
      <c r="J51">
        <v>78</v>
      </c>
      <c r="K51">
        <v>86</v>
      </c>
      <c r="L51">
        <v>90</v>
      </c>
      <c r="M51">
        <v>84</v>
      </c>
      <c r="N51">
        <v>85</v>
      </c>
      <c r="O51">
        <v>81</v>
      </c>
      <c r="P51">
        <v>83</v>
      </c>
      <c r="Q51">
        <v>85</v>
      </c>
      <c r="R51">
        <v>84</v>
      </c>
      <c r="S51">
        <v>83</v>
      </c>
      <c r="T51">
        <v>85</v>
      </c>
      <c r="U51">
        <v>79</v>
      </c>
      <c r="V51">
        <v>80</v>
      </c>
      <c r="W51">
        <v>82</v>
      </c>
      <c r="X51">
        <v>86</v>
      </c>
      <c r="Y51">
        <v>89</v>
      </c>
      <c r="Z51">
        <v>83</v>
      </c>
      <c r="AA51">
        <v>75</v>
      </c>
      <c r="AB51">
        <v>75</v>
      </c>
      <c r="AC51">
        <v>75</v>
      </c>
      <c r="AD51">
        <v>82</v>
      </c>
      <c r="AE51">
        <v>89</v>
      </c>
      <c r="AF51">
        <v>86</v>
      </c>
      <c r="AG51">
        <v>81</v>
      </c>
      <c r="AH51">
        <v>78</v>
      </c>
      <c r="AI51">
        <v>87</v>
      </c>
      <c r="AJ51">
        <v>85</v>
      </c>
      <c r="AK51">
        <v>84</v>
      </c>
      <c r="AL51">
        <v>88</v>
      </c>
      <c r="AM51">
        <v>84</v>
      </c>
      <c r="AN51">
        <v>85</v>
      </c>
      <c r="AR51">
        <v>82</v>
      </c>
      <c r="AS51">
        <v>82</v>
      </c>
      <c r="AT51">
        <v>81</v>
      </c>
      <c r="AU51">
        <v>81</v>
      </c>
      <c r="AV51">
        <v>88</v>
      </c>
      <c r="AW51">
        <v>82</v>
      </c>
      <c r="AZ51">
        <v>79</v>
      </c>
      <c r="BA51">
        <v>82</v>
      </c>
      <c r="BB51">
        <v>84</v>
      </c>
      <c r="BC51">
        <v>84</v>
      </c>
      <c r="BD51">
        <v>84</v>
      </c>
      <c r="BE51">
        <v>84</v>
      </c>
      <c r="BF51">
        <v>92</v>
      </c>
      <c r="BG51">
        <v>87</v>
      </c>
      <c r="BH51">
        <v>92</v>
      </c>
      <c r="BI51">
        <v>89</v>
      </c>
      <c r="BJ51">
        <v>78</v>
      </c>
      <c r="BK51">
        <v>81</v>
      </c>
      <c r="BL51">
        <v>81</v>
      </c>
      <c r="BM51">
        <v>84</v>
      </c>
      <c r="BN51">
        <v>83</v>
      </c>
      <c r="BO51">
        <v>83</v>
      </c>
      <c r="BP51">
        <v>84</v>
      </c>
      <c r="BQ51">
        <v>85</v>
      </c>
      <c r="BR51" s="13">
        <v>84</v>
      </c>
      <c r="BS51">
        <v>84</v>
      </c>
      <c r="BT51">
        <v>90</v>
      </c>
      <c r="BU51">
        <v>90</v>
      </c>
      <c r="BV51">
        <v>83</v>
      </c>
      <c r="BW51">
        <v>84</v>
      </c>
      <c r="BX51">
        <v>84</v>
      </c>
      <c r="BY51">
        <v>89</v>
      </c>
      <c r="BZ51">
        <v>82</v>
      </c>
      <c r="CA51">
        <v>85</v>
      </c>
      <c r="CB51">
        <v>83</v>
      </c>
      <c r="CC51">
        <v>85</v>
      </c>
      <c r="CD51">
        <v>82</v>
      </c>
      <c r="CE51">
        <v>82</v>
      </c>
      <c r="CF51">
        <v>81</v>
      </c>
      <c r="CG51">
        <v>84</v>
      </c>
      <c r="CH51" s="17" t="s">
        <v>1218</v>
      </c>
      <c r="CI51" s="21" t="s">
        <v>1216</v>
      </c>
      <c r="CJ51" s="17" t="s">
        <v>1212</v>
      </c>
      <c r="CK51" s="17" t="s">
        <v>996</v>
      </c>
      <c r="CT51">
        <v>89</v>
      </c>
      <c r="CU51">
        <v>85.3333333333333</v>
      </c>
      <c r="CV51">
        <v>85</v>
      </c>
      <c r="CW51">
        <v>84</v>
      </c>
      <c r="CX51" s="13">
        <v>84</v>
      </c>
      <c r="CY51">
        <v>85</v>
      </c>
      <c r="CZ51" s="13">
        <f t="shared" si="0"/>
        <v>83.833333333333329</v>
      </c>
      <c r="DA51" s="13">
        <f t="shared" si="1"/>
        <v>83.5</v>
      </c>
      <c r="DB51" s="13">
        <f t="shared" si="2"/>
        <v>80.333333333333329</v>
      </c>
      <c r="DC51" s="13">
        <f t="shared" si="3"/>
        <v>83.166666666666671</v>
      </c>
      <c r="DD51" s="13">
        <f t="shared" si="4"/>
        <v>83.833333333333329</v>
      </c>
      <c r="DE51" s="13">
        <f t="shared" si="5"/>
        <v>82</v>
      </c>
      <c r="DF51" s="13">
        <f t="shared" si="6"/>
        <v>83</v>
      </c>
      <c r="DG51" s="13">
        <f t="shared" si="7"/>
        <v>82.5</v>
      </c>
      <c r="DH51" s="13">
        <f t="shared" si="8"/>
        <v>84</v>
      </c>
      <c r="DI51" s="13">
        <f t="shared" si="9"/>
        <v>84</v>
      </c>
      <c r="DJ51" s="13">
        <f t="shared" si="10"/>
        <v>80.5</v>
      </c>
      <c r="DK51" s="13">
        <f t="shared" si="11"/>
        <v>89.5</v>
      </c>
      <c r="DL51" s="13">
        <f t="shared" si="12"/>
        <v>79.5</v>
      </c>
      <c r="DM51" s="13">
        <f t="shared" si="13"/>
        <v>90.5</v>
      </c>
      <c r="DN51" s="13">
        <f t="shared" si="14"/>
        <v>82.5</v>
      </c>
      <c r="DO51" s="13">
        <f t="shared" si="15"/>
        <v>87</v>
      </c>
      <c r="DP51" s="13">
        <f t="shared" si="16"/>
        <v>83.75</v>
      </c>
      <c r="DQ51" s="13">
        <f t="shared" si="17"/>
        <v>83</v>
      </c>
      <c r="DR51" s="13">
        <f t="shared" si="18"/>
        <v>83.5</v>
      </c>
      <c r="DS51">
        <f t="shared" si="19"/>
        <v>85</v>
      </c>
      <c r="DT51">
        <f t="shared" si="20"/>
        <v>80.333333333333329</v>
      </c>
      <c r="DU51">
        <f t="shared" si="21"/>
        <v>84.5</v>
      </c>
      <c r="DV51" s="31">
        <f t="shared" si="22"/>
        <v>84.00297619047619</v>
      </c>
    </row>
    <row r="52" spans="1:126" ht="15.6">
      <c r="A52">
        <v>51</v>
      </c>
      <c r="B52">
        <f>'DATA US'!B65</f>
        <v>222310049</v>
      </c>
      <c r="C52" t="str">
        <f>'DATA US'!C65</f>
        <v>0071919948</v>
      </c>
      <c r="D52">
        <f>'DATA US'!B147</f>
        <v>222310127</v>
      </c>
      <c r="E52" t="str">
        <f>'DATA US'!C147</f>
        <v>0079477598</v>
      </c>
      <c r="F52" t="str">
        <f>'DATA US'!F147</f>
        <v>Bekasi</v>
      </c>
      <c r="G52" s="7" t="s">
        <v>799</v>
      </c>
      <c r="H52" t="str">
        <f>'DATA US'!D147</f>
        <v>MELA MELATI</v>
      </c>
      <c r="I52">
        <v>82</v>
      </c>
      <c r="J52">
        <v>80</v>
      </c>
      <c r="K52">
        <v>85</v>
      </c>
      <c r="L52">
        <v>86</v>
      </c>
      <c r="M52">
        <v>82</v>
      </c>
      <c r="N52">
        <v>86</v>
      </c>
      <c r="O52">
        <v>82</v>
      </c>
      <c r="P52">
        <v>85</v>
      </c>
      <c r="Q52">
        <v>83</v>
      </c>
      <c r="R52">
        <v>84</v>
      </c>
      <c r="S52">
        <v>83</v>
      </c>
      <c r="T52">
        <v>86</v>
      </c>
      <c r="U52">
        <v>79</v>
      </c>
      <c r="V52">
        <v>83</v>
      </c>
      <c r="W52">
        <v>86</v>
      </c>
      <c r="X52">
        <v>88</v>
      </c>
      <c r="Y52">
        <v>88</v>
      </c>
      <c r="Z52">
        <v>86</v>
      </c>
      <c r="AA52">
        <v>75</v>
      </c>
      <c r="AB52">
        <v>75</v>
      </c>
      <c r="AC52">
        <v>75</v>
      </c>
      <c r="AD52">
        <v>88</v>
      </c>
      <c r="AE52">
        <v>87</v>
      </c>
      <c r="AF52">
        <v>88</v>
      </c>
      <c r="AG52">
        <v>79</v>
      </c>
      <c r="AH52">
        <v>80</v>
      </c>
      <c r="AI52">
        <v>85</v>
      </c>
      <c r="AJ52">
        <v>85</v>
      </c>
      <c r="AK52">
        <v>85</v>
      </c>
      <c r="AL52">
        <v>92</v>
      </c>
      <c r="AM52">
        <v>85</v>
      </c>
      <c r="AN52">
        <v>85</v>
      </c>
      <c r="AR52">
        <v>82</v>
      </c>
      <c r="AS52">
        <v>80</v>
      </c>
      <c r="AT52">
        <v>80</v>
      </c>
      <c r="AU52">
        <v>82</v>
      </c>
      <c r="AV52">
        <v>90</v>
      </c>
      <c r="AW52">
        <v>84</v>
      </c>
      <c r="AZ52">
        <v>76</v>
      </c>
      <c r="BA52">
        <v>83</v>
      </c>
      <c r="BB52">
        <v>84</v>
      </c>
      <c r="BC52">
        <v>84</v>
      </c>
      <c r="BD52">
        <v>84</v>
      </c>
      <c r="BE52">
        <v>84</v>
      </c>
      <c r="BF52">
        <v>92</v>
      </c>
      <c r="BG52">
        <v>85</v>
      </c>
      <c r="BH52">
        <v>93</v>
      </c>
      <c r="BI52">
        <v>90</v>
      </c>
      <c r="BJ52">
        <v>80</v>
      </c>
      <c r="BK52">
        <v>84</v>
      </c>
      <c r="BL52">
        <v>84</v>
      </c>
      <c r="BM52">
        <v>86</v>
      </c>
      <c r="BN52">
        <v>82</v>
      </c>
      <c r="BO52">
        <v>81</v>
      </c>
      <c r="BP52">
        <v>84</v>
      </c>
      <c r="BQ52">
        <v>85</v>
      </c>
      <c r="BR52" s="13">
        <v>86</v>
      </c>
      <c r="BS52">
        <v>87</v>
      </c>
      <c r="BT52">
        <v>88</v>
      </c>
      <c r="BU52">
        <v>88</v>
      </c>
      <c r="BV52">
        <v>83</v>
      </c>
      <c r="BW52">
        <v>84</v>
      </c>
      <c r="BX52">
        <v>84</v>
      </c>
      <c r="BY52">
        <v>88</v>
      </c>
      <c r="BZ52">
        <v>83</v>
      </c>
      <c r="CA52">
        <v>84</v>
      </c>
      <c r="CB52">
        <v>82</v>
      </c>
      <c r="CC52">
        <v>84</v>
      </c>
      <c r="CD52">
        <v>81</v>
      </c>
      <c r="CE52">
        <v>82</v>
      </c>
      <c r="CF52">
        <v>82</v>
      </c>
      <c r="CG52">
        <v>86</v>
      </c>
      <c r="CH52" s="17" t="s">
        <v>1215</v>
      </c>
      <c r="CI52" s="21" t="s">
        <v>1216</v>
      </c>
      <c r="CJ52" s="17" t="s">
        <v>1212</v>
      </c>
      <c r="CK52" s="20" t="s">
        <v>996</v>
      </c>
      <c r="CL52" s="17" t="s">
        <v>1202</v>
      </c>
      <c r="CM52" s="17" t="s">
        <v>1203</v>
      </c>
      <c r="CN52" s="17" t="s">
        <v>1209</v>
      </c>
      <c r="CO52" s="298" t="s">
        <v>996</v>
      </c>
      <c r="CT52">
        <v>90.6666666666667</v>
      </c>
      <c r="CU52">
        <v>84</v>
      </c>
      <c r="CV52">
        <v>83</v>
      </c>
      <c r="CW52">
        <v>89</v>
      </c>
      <c r="CX52" s="13">
        <v>86.5</v>
      </c>
      <c r="CY52">
        <v>85</v>
      </c>
      <c r="CZ52" s="13">
        <f t="shared" si="0"/>
        <v>83.5</v>
      </c>
      <c r="DA52" s="13">
        <f t="shared" si="1"/>
        <v>83.833333333333329</v>
      </c>
      <c r="DB52" s="13">
        <f t="shared" si="2"/>
        <v>81.333333333333329</v>
      </c>
      <c r="DC52" s="13">
        <f t="shared" si="3"/>
        <v>85</v>
      </c>
      <c r="DD52" s="13">
        <f t="shared" si="4"/>
        <v>84.333333333333329</v>
      </c>
      <c r="DE52" s="13">
        <f t="shared" si="5"/>
        <v>81</v>
      </c>
      <c r="DF52" s="13">
        <f t="shared" si="6"/>
        <v>84</v>
      </c>
      <c r="DG52" s="13">
        <f t="shared" si="7"/>
        <v>84</v>
      </c>
      <c r="DH52" s="13">
        <f t="shared" si="8"/>
        <v>84</v>
      </c>
      <c r="DI52" s="13">
        <f t="shared" si="9"/>
        <v>84</v>
      </c>
      <c r="DJ52" s="13">
        <f t="shared" si="10"/>
        <v>79.5</v>
      </c>
      <c r="DK52" s="13">
        <f t="shared" si="11"/>
        <v>88.5</v>
      </c>
      <c r="DL52" s="13">
        <f t="shared" si="12"/>
        <v>82</v>
      </c>
      <c r="DM52" s="13">
        <f t="shared" si="13"/>
        <v>91.5</v>
      </c>
      <c r="DN52" s="13">
        <f t="shared" si="14"/>
        <v>85</v>
      </c>
      <c r="DO52" s="13">
        <f t="shared" si="15"/>
        <v>87.25</v>
      </c>
      <c r="DP52" s="13">
        <f t="shared" si="16"/>
        <v>83</v>
      </c>
      <c r="DQ52" s="13">
        <f t="shared" si="17"/>
        <v>82.25</v>
      </c>
      <c r="DR52" s="13">
        <f t="shared" si="18"/>
        <v>83.5</v>
      </c>
      <c r="DS52">
        <f t="shared" si="19"/>
        <v>84.75</v>
      </c>
      <c r="DT52">
        <f t="shared" si="20"/>
        <v>81.333333333333329</v>
      </c>
      <c r="DU52">
        <f t="shared" si="21"/>
        <v>85</v>
      </c>
      <c r="DV52" s="31">
        <f t="shared" si="22"/>
        <v>84.526785714285737</v>
      </c>
    </row>
    <row r="53" spans="1:126">
      <c r="A53">
        <v>52</v>
      </c>
      <c r="B53">
        <f>'DATA US'!B66</f>
        <v>222310050</v>
      </c>
      <c r="C53" t="str">
        <f>'DATA US'!C66</f>
        <v>0067237318</v>
      </c>
      <c r="D53">
        <f>'DATA US'!B148</f>
        <v>222310128</v>
      </c>
      <c r="E53" t="str">
        <f>'DATA US'!C148</f>
        <v>0076891945</v>
      </c>
      <c r="F53" t="str">
        <f>'DATA US'!F148</f>
        <v>Bekasi</v>
      </c>
      <c r="G53" s="7" t="s">
        <v>805</v>
      </c>
      <c r="H53" t="str">
        <f>'DATA US'!D148</f>
        <v>MUHAMMAD ALBANI FAHREZI</v>
      </c>
      <c r="I53">
        <v>84</v>
      </c>
      <c r="J53">
        <v>82</v>
      </c>
      <c r="K53">
        <v>85</v>
      </c>
      <c r="L53">
        <v>85</v>
      </c>
      <c r="M53">
        <v>83</v>
      </c>
      <c r="N53">
        <v>85</v>
      </c>
      <c r="O53">
        <v>82</v>
      </c>
      <c r="P53">
        <v>87</v>
      </c>
      <c r="Q53">
        <v>81</v>
      </c>
      <c r="R53">
        <v>82</v>
      </c>
      <c r="S53">
        <v>83</v>
      </c>
      <c r="T53">
        <v>85</v>
      </c>
      <c r="U53">
        <v>78</v>
      </c>
      <c r="V53">
        <v>83</v>
      </c>
      <c r="W53">
        <v>91</v>
      </c>
      <c r="X53">
        <v>89</v>
      </c>
      <c r="Y53">
        <v>82</v>
      </c>
      <c r="Z53">
        <v>90</v>
      </c>
      <c r="AA53">
        <v>75</v>
      </c>
      <c r="AB53">
        <v>75</v>
      </c>
      <c r="AC53">
        <v>75</v>
      </c>
      <c r="AD53">
        <v>83</v>
      </c>
      <c r="AE53">
        <v>84</v>
      </c>
      <c r="AF53">
        <v>89</v>
      </c>
      <c r="AG53">
        <v>79</v>
      </c>
      <c r="AH53">
        <v>82</v>
      </c>
      <c r="AI53">
        <v>84</v>
      </c>
      <c r="AJ53">
        <v>83</v>
      </c>
      <c r="AK53">
        <v>91</v>
      </c>
      <c r="AL53">
        <v>88</v>
      </c>
      <c r="AM53">
        <v>83</v>
      </c>
      <c r="AN53">
        <v>84</v>
      </c>
      <c r="AR53">
        <v>80</v>
      </c>
      <c r="AS53">
        <v>81</v>
      </c>
      <c r="AT53">
        <v>80</v>
      </c>
      <c r="AU53">
        <v>81</v>
      </c>
      <c r="AV53">
        <v>86</v>
      </c>
      <c r="AW53">
        <v>83</v>
      </c>
      <c r="AZ53">
        <v>77</v>
      </c>
      <c r="BA53">
        <v>86</v>
      </c>
      <c r="BB53">
        <v>84</v>
      </c>
      <c r="BC53">
        <v>84</v>
      </c>
      <c r="BD53">
        <v>83</v>
      </c>
      <c r="BE53">
        <v>83</v>
      </c>
      <c r="BF53">
        <v>78</v>
      </c>
      <c r="BG53">
        <v>80</v>
      </c>
      <c r="BH53">
        <v>79</v>
      </c>
      <c r="BI53">
        <v>82</v>
      </c>
      <c r="BJ53">
        <v>77</v>
      </c>
      <c r="BK53">
        <v>82</v>
      </c>
      <c r="BL53">
        <v>79</v>
      </c>
      <c r="BM53">
        <v>82</v>
      </c>
      <c r="BN53">
        <v>82</v>
      </c>
      <c r="BO53">
        <v>81</v>
      </c>
      <c r="BP53">
        <v>84</v>
      </c>
      <c r="BQ53">
        <v>86</v>
      </c>
      <c r="BR53" s="13">
        <v>87</v>
      </c>
      <c r="BS53">
        <v>82</v>
      </c>
      <c r="BT53">
        <v>89</v>
      </c>
      <c r="BU53">
        <v>89</v>
      </c>
      <c r="BV53">
        <v>80</v>
      </c>
      <c r="BW53">
        <v>85</v>
      </c>
      <c r="BX53">
        <v>84</v>
      </c>
      <c r="BY53">
        <v>88</v>
      </c>
      <c r="BZ53">
        <v>82</v>
      </c>
      <c r="CA53">
        <v>84</v>
      </c>
      <c r="CB53">
        <v>80</v>
      </c>
      <c r="CC53">
        <v>82</v>
      </c>
      <c r="CD53">
        <v>82</v>
      </c>
      <c r="CE53">
        <v>82</v>
      </c>
      <c r="CF53">
        <v>82</v>
      </c>
      <c r="CG53">
        <v>88</v>
      </c>
      <c r="CH53" s="17" t="s">
        <v>1219</v>
      </c>
      <c r="CI53" s="17" t="s">
        <v>1166</v>
      </c>
      <c r="CJ53" s="17" t="s">
        <v>1167</v>
      </c>
      <c r="CK53" s="17" t="s">
        <v>996</v>
      </c>
      <c r="CL53" s="17" t="s">
        <v>1028</v>
      </c>
      <c r="CM53" s="17" t="s">
        <v>1168</v>
      </c>
      <c r="CN53" s="17" t="s">
        <v>1270</v>
      </c>
      <c r="CO53" s="305" t="s">
        <v>996</v>
      </c>
      <c r="CT53">
        <v>90</v>
      </c>
      <c r="CU53">
        <v>85.3333333333333</v>
      </c>
      <c r="CV53">
        <v>91</v>
      </c>
      <c r="CW53">
        <v>89</v>
      </c>
      <c r="CX53" s="13">
        <v>83</v>
      </c>
      <c r="CY53">
        <v>85</v>
      </c>
      <c r="CZ53" s="13">
        <f t="shared" si="0"/>
        <v>84</v>
      </c>
      <c r="DA53" s="13">
        <f t="shared" si="1"/>
        <v>83.333333333333329</v>
      </c>
      <c r="DB53" s="13">
        <f t="shared" si="2"/>
        <v>80.166666666666671</v>
      </c>
      <c r="DC53" s="13">
        <f t="shared" si="3"/>
        <v>85.5</v>
      </c>
      <c r="DD53" s="13">
        <f t="shared" si="4"/>
        <v>84.5</v>
      </c>
      <c r="DE53" s="13">
        <f t="shared" si="5"/>
        <v>80.5</v>
      </c>
      <c r="DF53" s="13">
        <f t="shared" si="6"/>
        <v>82.5</v>
      </c>
      <c r="DG53" s="13">
        <f t="shared" si="7"/>
        <v>85</v>
      </c>
      <c r="DH53" s="13">
        <f t="shared" si="8"/>
        <v>83</v>
      </c>
      <c r="DI53" s="13">
        <f t="shared" si="9"/>
        <v>84</v>
      </c>
      <c r="DJ53" s="13">
        <f t="shared" si="10"/>
        <v>81.5</v>
      </c>
      <c r="DK53" s="13">
        <f t="shared" si="11"/>
        <v>79</v>
      </c>
      <c r="DL53" s="13">
        <f t="shared" si="12"/>
        <v>79.5</v>
      </c>
      <c r="DM53" s="13">
        <f t="shared" si="13"/>
        <v>80.5</v>
      </c>
      <c r="DN53" s="13">
        <f t="shared" si="14"/>
        <v>80.5</v>
      </c>
      <c r="DO53" s="13">
        <f t="shared" si="15"/>
        <v>86.75</v>
      </c>
      <c r="DP53" s="13">
        <f t="shared" si="16"/>
        <v>83.25</v>
      </c>
      <c r="DQ53" s="13">
        <f t="shared" si="17"/>
        <v>81.5</v>
      </c>
      <c r="DR53" s="13">
        <f t="shared" si="18"/>
        <v>83</v>
      </c>
      <c r="DS53">
        <f t="shared" si="19"/>
        <v>84.25</v>
      </c>
      <c r="DT53">
        <f t="shared" si="20"/>
        <v>80.166666666666671</v>
      </c>
      <c r="DU53">
        <f t="shared" si="21"/>
        <v>83.5</v>
      </c>
      <c r="DV53" s="31">
        <f t="shared" si="22"/>
        <v>83.544642857142847</v>
      </c>
    </row>
    <row r="54" spans="1:126">
      <c r="A54">
        <v>53</v>
      </c>
      <c r="B54">
        <f>'DATA US'!B67</f>
        <v>222310051</v>
      </c>
      <c r="C54" t="str">
        <f>'DATA US'!C67</f>
        <v>0074078433</v>
      </c>
      <c r="D54">
        <f>'DATA US'!B149</f>
        <v>222310131</v>
      </c>
      <c r="E54" t="str">
        <f>'DATA US'!C149</f>
        <v>0075569471</v>
      </c>
      <c r="F54" t="str">
        <f>'DATA US'!F149</f>
        <v>Bekasi</v>
      </c>
      <c r="G54" s="7" t="s">
        <v>811</v>
      </c>
      <c r="H54" t="str">
        <f>'DATA US'!D149</f>
        <v>NABILAH</v>
      </c>
      <c r="I54">
        <v>80</v>
      </c>
      <c r="J54">
        <v>78</v>
      </c>
      <c r="K54">
        <v>86</v>
      </c>
      <c r="L54">
        <v>85</v>
      </c>
      <c r="M54">
        <v>83</v>
      </c>
      <c r="N54">
        <v>85</v>
      </c>
      <c r="O54">
        <v>83</v>
      </c>
      <c r="P54">
        <v>85</v>
      </c>
      <c r="Q54">
        <v>83</v>
      </c>
      <c r="R54">
        <v>82</v>
      </c>
      <c r="S54">
        <v>83</v>
      </c>
      <c r="T54">
        <v>84</v>
      </c>
      <c r="U54">
        <v>78</v>
      </c>
      <c r="V54">
        <v>82</v>
      </c>
      <c r="W54">
        <v>82</v>
      </c>
      <c r="X54">
        <v>85</v>
      </c>
      <c r="Y54">
        <v>82</v>
      </c>
      <c r="Z54">
        <v>83</v>
      </c>
      <c r="AA54">
        <v>75</v>
      </c>
      <c r="AB54">
        <v>75</v>
      </c>
      <c r="AC54">
        <v>75</v>
      </c>
      <c r="AD54">
        <v>83</v>
      </c>
      <c r="AE54">
        <v>84</v>
      </c>
      <c r="AF54">
        <v>88</v>
      </c>
      <c r="AG54">
        <v>78</v>
      </c>
      <c r="AH54">
        <v>78</v>
      </c>
      <c r="AI54">
        <v>87</v>
      </c>
      <c r="AJ54">
        <v>86</v>
      </c>
      <c r="AK54">
        <v>87</v>
      </c>
      <c r="AL54">
        <v>87</v>
      </c>
      <c r="AM54">
        <v>83</v>
      </c>
      <c r="AN54">
        <v>86</v>
      </c>
      <c r="AR54">
        <v>81</v>
      </c>
      <c r="AS54">
        <v>80</v>
      </c>
      <c r="AT54">
        <v>81</v>
      </c>
      <c r="AU54">
        <v>81</v>
      </c>
      <c r="AV54">
        <v>88</v>
      </c>
      <c r="AW54">
        <v>82</v>
      </c>
      <c r="AZ54">
        <v>77</v>
      </c>
      <c r="BA54">
        <v>83</v>
      </c>
      <c r="BB54">
        <v>83</v>
      </c>
      <c r="BC54">
        <v>83</v>
      </c>
      <c r="BD54">
        <v>83</v>
      </c>
      <c r="BE54">
        <v>83</v>
      </c>
      <c r="BF54">
        <v>82</v>
      </c>
      <c r="BG54">
        <v>84</v>
      </c>
      <c r="BH54">
        <v>82</v>
      </c>
      <c r="BI54">
        <v>88</v>
      </c>
      <c r="BJ54">
        <v>79</v>
      </c>
      <c r="BK54">
        <v>81</v>
      </c>
      <c r="BL54">
        <v>79</v>
      </c>
      <c r="BM54">
        <v>81</v>
      </c>
      <c r="BN54">
        <v>86</v>
      </c>
      <c r="BO54">
        <v>85</v>
      </c>
      <c r="BP54">
        <v>84</v>
      </c>
      <c r="BQ54">
        <v>85</v>
      </c>
      <c r="BR54" s="13">
        <v>87</v>
      </c>
      <c r="BS54">
        <v>85</v>
      </c>
      <c r="BT54">
        <v>87</v>
      </c>
      <c r="BU54">
        <v>87</v>
      </c>
      <c r="BV54">
        <v>80</v>
      </c>
      <c r="BW54">
        <v>85</v>
      </c>
      <c r="BX54">
        <v>84</v>
      </c>
      <c r="BY54">
        <v>89</v>
      </c>
      <c r="BZ54">
        <v>82</v>
      </c>
      <c r="CA54">
        <v>84</v>
      </c>
      <c r="CB54">
        <v>81</v>
      </c>
      <c r="CC54">
        <v>84</v>
      </c>
      <c r="CD54">
        <v>83</v>
      </c>
      <c r="CE54">
        <v>82</v>
      </c>
      <c r="CF54">
        <v>84</v>
      </c>
      <c r="CG54">
        <v>85</v>
      </c>
      <c r="CH54" s="20" t="s">
        <v>1105</v>
      </c>
      <c r="CI54" s="20" t="s">
        <v>1220</v>
      </c>
      <c r="CJ54" s="18" t="s">
        <v>1221</v>
      </c>
      <c r="CK54" s="30" t="s">
        <v>996</v>
      </c>
      <c r="CL54" s="20" t="s">
        <v>1033</v>
      </c>
      <c r="CM54" s="20" t="s">
        <v>1222</v>
      </c>
      <c r="CN54" s="18" t="s">
        <v>1223</v>
      </c>
      <c r="CO54" s="300" t="s">
        <v>996</v>
      </c>
      <c r="CT54">
        <v>89.3333333333333</v>
      </c>
      <c r="CU54">
        <v>84</v>
      </c>
      <c r="CV54">
        <v>89</v>
      </c>
      <c r="CW54">
        <v>83</v>
      </c>
      <c r="CX54" s="13">
        <v>82.5</v>
      </c>
      <c r="CY54">
        <v>85</v>
      </c>
      <c r="CZ54" s="13">
        <f t="shared" si="0"/>
        <v>82.833333333333329</v>
      </c>
      <c r="DA54" s="13">
        <f t="shared" si="1"/>
        <v>83.333333333333329</v>
      </c>
      <c r="DB54" s="13">
        <f t="shared" si="2"/>
        <v>80</v>
      </c>
      <c r="DC54" s="13">
        <f t="shared" si="3"/>
        <v>82</v>
      </c>
      <c r="DD54" s="13">
        <f t="shared" si="4"/>
        <v>83.833333333333329</v>
      </c>
      <c r="DE54" s="13">
        <f t="shared" si="5"/>
        <v>80.5</v>
      </c>
      <c r="DF54" s="13">
        <f t="shared" si="6"/>
        <v>83</v>
      </c>
      <c r="DG54" s="13">
        <f t="shared" si="7"/>
        <v>84.5</v>
      </c>
      <c r="DH54" s="13">
        <f t="shared" si="8"/>
        <v>83</v>
      </c>
      <c r="DI54" s="13">
        <f t="shared" si="9"/>
        <v>83</v>
      </c>
      <c r="DJ54" s="13">
        <f t="shared" si="10"/>
        <v>80</v>
      </c>
      <c r="DK54" s="13">
        <f t="shared" si="11"/>
        <v>83</v>
      </c>
      <c r="DL54" s="13">
        <f t="shared" si="12"/>
        <v>80</v>
      </c>
      <c r="DM54" s="13">
        <f t="shared" si="13"/>
        <v>85</v>
      </c>
      <c r="DN54" s="13">
        <f t="shared" si="14"/>
        <v>80</v>
      </c>
      <c r="DO54" s="13">
        <f t="shared" si="15"/>
        <v>86.5</v>
      </c>
      <c r="DP54" s="13">
        <f t="shared" si="16"/>
        <v>85</v>
      </c>
      <c r="DQ54" s="13">
        <f t="shared" si="17"/>
        <v>82.5</v>
      </c>
      <c r="DR54" s="13">
        <f t="shared" si="18"/>
        <v>83</v>
      </c>
      <c r="DS54">
        <f t="shared" si="19"/>
        <v>84.5</v>
      </c>
      <c r="DT54">
        <f t="shared" si="20"/>
        <v>80</v>
      </c>
      <c r="DU54">
        <f t="shared" si="21"/>
        <v>84.5</v>
      </c>
      <c r="DV54" s="31">
        <f t="shared" si="22"/>
        <v>83.31547619047619</v>
      </c>
    </row>
    <row r="55" spans="1:126">
      <c r="A55">
        <v>54</v>
      </c>
      <c r="B55">
        <f>'DATA US'!B68</f>
        <v>222310052</v>
      </c>
      <c r="C55" t="str">
        <f>'DATA US'!C68</f>
        <v>0076721700</v>
      </c>
      <c r="D55">
        <f>'DATA US'!B150</f>
        <v>222310132</v>
      </c>
      <c r="E55" t="str">
        <f>'DATA US'!C150</f>
        <v>0078588369</v>
      </c>
      <c r="F55" t="str">
        <f>'DATA US'!F150</f>
        <v>Bekasi</v>
      </c>
      <c r="G55" s="7" t="s">
        <v>817</v>
      </c>
      <c r="H55" t="str">
        <f>'DATA US'!D150</f>
        <v>NAYSILLA PUTRI SHAFERA</v>
      </c>
      <c r="I55">
        <v>80</v>
      </c>
      <c r="J55">
        <v>79</v>
      </c>
      <c r="K55">
        <v>82</v>
      </c>
      <c r="L55">
        <v>84</v>
      </c>
      <c r="M55">
        <v>82</v>
      </c>
      <c r="N55">
        <v>84</v>
      </c>
      <c r="O55">
        <v>81</v>
      </c>
      <c r="P55">
        <v>83</v>
      </c>
      <c r="Q55">
        <v>83</v>
      </c>
      <c r="R55">
        <v>82</v>
      </c>
      <c r="S55">
        <v>83</v>
      </c>
      <c r="T55">
        <v>83</v>
      </c>
      <c r="U55">
        <v>79</v>
      </c>
      <c r="V55">
        <v>82</v>
      </c>
      <c r="W55">
        <v>81</v>
      </c>
      <c r="X55">
        <v>86</v>
      </c>
      <c r="Y55">
        <v>82</v>
      </c>
      <c r="Z55">
        <v>82</v>
      </c>
      <c r="AA55">
        <v>78</v>
      </c>
      <c r="AB55">
        <v>75</v>
      </c>
      <c r="AC55">
        <v>75</v>
      </c>
      <c r="AD55">
        <v>85</v>
      </c>
      <c r="AE55">
        <v>87</v>
      </c>
      <c r="AF55">
        <v>88</v>
      </c>
      <c r="AG55">
        <v>79</v>
      </c>
      <c r="AH55">
        <v>79</v>
      </c>
      <c r="AI55">
        <v>87</v>
      </c>
      <c r="AJ55">
        <v>84</v>
      </c>
      <c r="AK55">
        <v>85</v>
      </c>
      <c r="AL55">
        <v>85</v>
      </c>
      <c r="AM55">
        <v>83</v>
      </c>
      <c r="AN55">
        <v>85</v>
      </c>
      <c r="AR55">
        <v>81</v>
      </c>
      <c r="AS55">
        <v>84</v>
      </c>
      <c r="AT55">
        <v>80</v>
      </c>
      <c r="AU55">
        <v>82</v>
      </c>
      <c r="AV55">
        <v>88</v>
      </c>
      <c r="AW55">
        <v>84</v>
      </c>
      <c r="AZ55">
        <v>76</v>
      </c>
      <c r="BA55">
        <v>82</v>
      </c>
      <c r="BB55">
        <v>83</v>
      </c>
      <c r="BC55">
        <v>84</v>
      </c>
      <c r="BD55">
        <v>84</v>
      </c>
      <c r="BE55">
        <v>84</v>
      </c>
      <c r="BF55">
        <v>85</v>
      </c>
      <c r="BG55">
        <v>83</v>
      </c>
      <c r="BH55">
        <v>84</v>
      </c>
      <c r="BI55">
        <v>88</v>
      </c>
      <c r="BJ55">
        <v>78</v>
      </c>
      <c r="BK55">
        <v>81</v>
      </c>
      <c r="BL55">
        <v>80</v>
      </c>
      <c r="BM55">
        <v>83</v>
      </c>
      <c r="BN55">
        <v>83</v>
      </c>
      <c r="BO55">
        <v>82</v>
      </c>
      <c r="BP55">
        <v>84</v>
      </c>
      <c r="BQ55">
        <v>85</v>
      </c>
      <c r="BR55" s="13">
        <v>85</v>
      </c>
      <c r="BS55">
        <v>86</v>
      </c>
      <c r="BT55">
        <v>88</v>
      </c>
      <c r="BU55">
        <v>87</v>
      </c>
      <c r="BV55">
        <v>79</v>
      </c>
      <c r="BW55">
        <v>84</v>
      </c>
      <c r="BX55">
        <v>84</v>
      </c>
      <c r="BY55">
        <v>89</v>
      </c>
      <c r="BZ55">
        <v>83</v>
      </c>
      <c r="CA55">
        <v>85</v>
      </c>
      <c r="CB55">
        <v>81</v>
      </c>
      <c r="CC55">
        <v>84</v>
      </c>
      <c r="CD55">
        <v>83</v>
      </c>
      <c r="CE55">
        <v>82</v>
      </c>
      <c r="CF55">
        <v>83</v>
      </c>
      <c r="CG55">
        <v>85</v>
      </c>
      <c r="CH55" s="18" t="s">
        <v>1144</v>
      </c>
      <c r="CI55" s="18" t="s">
        <v>1145</v>
      </c>
      <c r="CJ55" s="18" t="s">
        <v>1146</v>
      </c>
      <c r="CK55" s="18" t="s">
        <v>996</v>
      </c>
      <c r="CT55">
        <v>89.3333333333333</v>
      </c>
      <c r="CU55">
        <v>84</v>
      </c>
      <c r="CV55">
        <v>80</v>
      </c>
      <c r="CW55">
        <v>83</v>
      </c>
      <c r="CX55" s="13">
        <v>83.5</v>
      </c>
      <c r="CY55">
        <v>85</v>
      </c>
      <c r="CZ55" s="13">
        <f t="shared" si="0"/>
        <v>81.833333333333329</v>
      </c>
      <c r="DA55" s="13">
        <f t="shared" si="1"/>
        <v>82.5</v>
      </c>
      <c r="DB55" s="13">
        <f t="shared" si="2"/>
        <v>81.333333333333329</v>
      </c>
      <c r="DC55" s="13">
        <f t="shared" si="3"/>
        <v>82</v>
      </c>
      <c r="DD55" s="13">
        <f t="shared" si="4"/>
        <v>83.166666666666671</v>
      </c>
      <c r="DE55" s="13">
        <f t="shared" si="5"/>
        <v>82.5</v>
      </c>
      <c r="DF55" s="13">
        <f t="shared" si="6"/>
        <v>83.5</v>
      </c>
      <c r="DG55" s="13">
        <f t="shared" si="7"/>
        <v>84</v>
      </c>
      <c r="DH55" s="13">
        <f t="shared" si="8"/>
        <v>84</v>
      </c>
      <c r="DI55" s="13">
        <f t="shared" si="9"/>
        <v>83.5</v>
      </c>
      <c r="DJ55" s="13">
        <f t="shared" si="10"/>
        <v>79</v>
      </c>
      <c r="DK55" s="13">
        <f t="shared" si="11"/>
        <v>84</v>
      </c>
      <c r="DL55" s="13">
        <f t="shared" si="12"/>
        <v>79.5</v>
      </c>
      <c r="DM55" s="13">
        <f t="shared" si="13"/>
        <v>86</v>
      </c>
      <c r="DN55" s="13">
        <f t="shared" si="14"/>
        <v>81.5</v>
      </c>
      <c r="DO55" s="13">
        <f t="shared" si="15"/>
        <v>86.5</v>
      </c>
      <c r="DP55" s="13">
        <f t="shared" si="16"/>
        <v>83.5</v>
      </c>
      <c r="DQ55" s="13">
        <f t="shared" si="17"/>
        <v>82.5</v>
      </c>
      <c r="DR55" s="13">
        <f t="shared" si="18"/>
        <v>84</v>
      </c>
      <c r="DS55">
        <f t="shared" si="19"/>
        <v>84</v>
      </c>
      <c r="DT55">
        <f t="shared" si="20"/>
        <v>81.333333333333329</v>
      </c>
      <c r="DU55">
        <f t="shared" si="21"/>
        <v>84</v>
      </c>
      <c r="DV55" s="31">
        <f t="shared" si="22"/>
        <v>83.178571428571431</v>
      </c>
    </row>
    <row r="56" spans="1:126">
      <c r="A56">
        <v>55</v>
      </c>
      <c r="B56">
        <f>'DATA US'!B69</f>
        <v>222310053</v>
      </c>
      <c r="C56" t="str">
        <f>'DATA US'!C69</f>
        <v>0061614231</v>
      </c>
      <c r="D56">
        <f>'DATA US'!B151</f>
        <v>222310133</v>
      </c>
      <c r="E56" t="str">
        <f>'DATA US'!C151</f>
        <v>0072030963</v>
      </c>
      <c r="F56" t="str">
        <f>'DATA US'!F151</f>
        <v>Bekasi</v>
      </c>
      <c r="G56" s="7" t="s">
        <v>823</v>
      </c>
      <c r="H56" t="str">
        <f>'DATA US'!D151</f>
        <v>NAZWAN ALFIANSYAHFA</v>
      </c>
      <c r="I56">
        <v>84</v>
      </c>
      <c r="J56">
        <v>80</v>
      </c>
      <c r="K56">
        <v>85</v>
      </c>
      <c r="L56">
        <v>84</v>
      </c>
      <c r="M56">
        <v>83</v>
      </c>
      <c r="N56">
        <v>85</v>
      </c>
      <c r="O56">
        <v>82</v>
      </c>
      <c r="P56">
        <v>84</v>
      </c>
      <c r="Q56">
        <v>82</v>
      </c>
      <c r="R56">
        <v>82</v>
      </c>
      <c r="S56">
        <v>83</v>
      </c>
      <c r="T56">
        <v>85</v>
      </c>
      <c r="U56">
        <v>78</v>
      </c>
      <c r="V56">
        <v>80</v>
      </c>
      <c r="W56">
        <v>85</v>
      </c>
      <c r="X56">
        <v>85</v>
      </c>
      <c r="Y56">
        <v>85</v>
      </c>
      <c r="Z56">
        <v>86</v>
      </c>
      <c r="AA56">
        <v>75</v>
      </c>
      <c r="AB56">
        <v>75</v>
      </c>
      <c r="AC56">
        <v>75</v>
      </c>
      <c r="AD56">
        <v>81</v>
      </c>
      <c r="AE56">
        <v>81</v>
      </c>
      <c r="AF56">
        <v>88</v>
      </c>
      <c r="AG56">
        <v>82</v>
      </c>
      <c r="AH56">
        <v>80</v>
      </c>
      <c r="AI56">
        <v>85</v>
      </c>
      <c r="AJ56">
        <v>82</v>
      </c>
      <c r="AK56">
        <v>84</v>
      </c>
      <c r="AL56">
        <v>92</v>
      </c>
      <c r="AM56">
        <v>81</v>
      </c>
      <c r="AN56">
        <v>83</v>
      </c>
      <c r="AR56">
        <v>82</v>
      </c>
      <c r="AS56">
        <v>83</v>
      </c>
      <c r="AT56">
        <v>80</v>
      </c>
      <c r="AU56">
        <v>81</v>
      </c>
      <c r="AV56">
        <v>86</v>
      </c>
      <c r="AW56">
        <v>84</v>
      </c>
      <c r="AZ56">
        <v>76</v>
      </c>
      <c r="BA56">
        <v>81</v>
      </c>
      <c r="BB56">
        <v>82</v>
      </c>
      <c r="BC56">
        <v>81</v>
      </c>
      <c r="BD56">
        <v>83</v>
      </c>
      <c r="BE56">
        <v>83</v>
      </c>
      <c r="BF56">
        <v>84</v>
      </c>
      <c r="BG56">
        <v>83</v>
      </c>
      <c r="BH56">
        <v>83</v>
      </c>
      <c r="BI56">
        <v>86</v>
      </c>
      <c r="BJ56">
        <v>76</v>
      </c>
      <c r="BK56">
        <v>79</v>
      </c>
      <c r="BL56">
        <v>78</v>
      </c>
      <c r="BM56">
        <v>81</v>
      </c>
      <c r="BN56">
        <v>86</v>
      </c>
      <c r="BO56">
        <v>85</v>
      </c>
      <c r="BP56">
        <v>84</v>
      </c>
      <c r="BQ56">
        <v>84</v>
      </c>
      <c r="BR56" s="13">
        <v>84</v>
      </c>
      <c r="BS56">
        <v>81</v>
      </c>
      <c r="BT56">
        <v>88</v>
      </c>
      <c r="BU56">
        <v>87</v>
      </c>
      <c r="BV56">
        <v>81</v>
      </c>
      <c r="BW56">
        <v>82</v>
      </c>
      <c r="BX56">
        <v>84</v>
      </c>
      <c r="BY56">
        <v>88</v>
      </c>
      <c r="BZ56">
        <v>82</v>
      </c>
      <c r="CA56">
        <v>84</v>
      </c>
      <c r="CB56">
        <v>82</v>
      </c>
      <c r="CC56">
        <v>83</v>
      </c>
      <c r="CD56">
        <v>83</v>
      </c>
      <c r="CE56">
        <v>82</v>
      </c>
      <c r="CF56">
        <v>85</v>
      </c>
      <c r="CG56">
        <v>85</v>
      </c>
      <c r="CH56" s="18" t="s">
        <v>1224</v>
      </c>
      <c r="CI56" s="18" t="s">
        <v>1225</v>
      </c>
      <c r="CJ56" s="17" t="s">
        <v>1226</v>
      </c>
      <c r="CK56" s="18" t="s">
        <v>996</v>
      </c>
      <c r="CT56">
        <v>90</v>
      </c>
      <c r="CU56">
        <v>85</v>
      </c>
      <c r="CV56">
        <v>95</v>
      </c>
      <c r="CW56">
        <v>82</v>
      </c>
      <c r="CX56" s="13">
        <v>83</v>
      </c>
      <c r="CY56">
        <v>88</v>
      </c>
      <c r="CZ56" s="13">
        <f t="shared" si="0"/>
        <v>83.5</v>
      </c>
      <c r="DA56" s="13">
        <f t="shared" si="1"/>
        <v>83</v>
      </c>
      <c r="DB56" s="13">
        <f t="shared" si="2"/>
        <v>79.166666666666671</v>
      </c>
      <c r="DC56" s="13">
        <f t="shared" si="3"/>
        <v>83.166666666666671</v>
      </c>
      <c r="DD56" s="13">
        <f t="shared" si="4"/>
        <v>84.166666666666671</v>
      </c>
      <c r="DE56" s="13">
        <f t="shared" si="5"/>
        <v>82.5</v>
      </c>
      <c r="DF56" s="13">
        <f t="shared" si="6"/>
        <v>82.75</v>
      </c>
      <c r="DG56" s="13">
        <f t="shared" si="7"/>
        <v>85</v>
      </c>
      <c r="DH56" s="13">
        <f t="shared" si="8"/>
        <v>83</v>
      </c>
      <c r="DI56" s="13">
        <f t="shared" si="9"/>
        <v>81.5</v>
      </c>
      <c r="DJ56" s="13">
        <f t="shared" si="10"/>
        <v>78.5</v>
      </c>
      <c r="DK56" s="13">
        <f t="shared" si="11"/>
        <v>83.5</v>
      </c>
      <c r="DL56" s="13">
        <f t="shared" si="12"/>
        <v>77.5</v>
      </c>
      <c r="DM56" s="13">
        <f t="shared" si="13"/>
        <v>84.5</v>
      </c>
      <c r="DN56" s="13">
        <f t="shared" si="14"/>
        <v>79.5</v>
      </c>
      <c r="DO56" s="13">
        <f t="shared" si="15"/>
        <v>85</v>
      </c>
      <c r="DP56" s="13">
        <f t="shared" si="16"/>
        <v>84.75</v>
      </c>
      <c r="DQ56" s="13">
        <f t="shared" si="17"/>
        <v>82.5</v>
      </c>
      <c r="DR56" s="13">
        <f t="shared" si="18"/>
        <v>83</v>
      </c>
      <c r="DS56">
        <f t="shared" si="19"/>
        <v>83.75</v>
      </c>
      <c r="DT56">
        <f t="shared" si="20"/>
        <v>79.166666666666671</v>
      </c>
      <c r="DU56">
        <f t="shared" si="21"/>
        <v>82</v>
      </c>
      <c r="DV56" s="31">
        <f t="shared" si="22"/>
        <v>83.37202380952381</v>
      </c>
    </row>
    <row r="57" spans="1:126">
      <c r="A57">
        <v>56</v>
      </c>
      <c r="B57">
        <f>'DATA US'!B70</f>
        <v>222310054</v>
      </c>
      <c r="C57" t="str">
        <f>'DATA US'!C70</f>
        <v>0062657633</v>
      </c>
      <c r="D57">
        <f>'DATA US'!B152</f>
        <v>222310134</v>
      </c>
      <c r="E57" t="str">
        <f>'DATA US'!C152</f>
        <v>0077060831</v>
      </c>
      <c r="F57" t="str">
        <f>'DATA US'!F152</f>
        <v>Bekasi</v>
      </c>
      <c r="G57" s="7" t="s">
        <v>828</v>
      </c>
      <c r="H57" t="str">
        <f>'DATA US'!D152</f>
        <v>RANGGA SURYANA</v>
      </c>
      <c r="I57">
        <v>85</v>
      </c>
      <c r="J57">
        <v>86</v>
      </c>
      <c r="K57">
        <v>89</v>
      </c>
      <c r="L57">
        <v>86</v>
      </c>
      <c r="M57">
        <v>83</v>
      </c>
      <c r="N57">
        <v>83</v>
      </c>
      <c r="O57">
        <v>86</v>
      </c>
      <c r="P57">
        <v>88</v>
      </c>
      <c r="Q57">
        <v>86</v>
      </c>
      <c r="R57">
        <v>86</v>
      </c>
      <c r="S57">
        <v>86</v>
      </c>
      <c r="T57">
        <v>90</v>
      </c>
      <c r="U57">
        <v>79</v>
      </c>
      <c r="V57">
        <v>82</v>
      </c>
      <c r="W57">
        <v>95</v>
      </c>
      <c r="X57">
        <v>93</v>
      </c>
      <c r="Y57">
        <v>89</v>
      </c>
      <c r="Z57">
        <v>90</v>
      </c>
      <c r="AA57">
        <v>77</v>
      </c>
      <c r="AB57">
        <v>76</v>
      </c>
      <c r="AC57">
        <v>76</v>
      </c>
      <c r="AD57">
        <v>90</v>
      </c>
      <c r="AE57">
        <v>86</v>
      </c>
      <c r="AF57">
        <v>89</v>
      </c>
      <c r="AG57">
        <v>83</v>
      </c>
      <c r="AH57">
        <v>86</v>
      </c>
      <c r="AI57">
        <v>87</v>
      </c>
      <c r="AJ57">
        <v>91</v>
      </c>
      <c r="AK57">
        <v>88</v>
      </c>
      <c r="AL57">
        <v>90</v>
      </c>
      <c r="AM57">
        <v>86</v>
      </c>
      <c r="AN57">
        <v>88</v>
      </c>
      <c r="AR57">
        <v>85</v>
      </c>
      <c r="AS57">
        <v>81</v>
      </c>
      <c r="AT57">
        <v>80</v>
      </c>
      <c r="AU57">
        <v>82</v>
      </c>
      <c r="AV57">
        <v>90</v>
      </c>
      <c r="AW57">
        <v>85</v>
      </c>
      <c r="AZ57">
        <v>81</v>
      </c>
      <c r="BA57">
        <v>85</v>
      </c>
      <c r="BB57">
        <v>86</v>
      </c>
      <c r="BC57">
        <v>86</v>
      </c>
      <c r="BD57">
        <v>86</v>
      </c>
      <c r="BE57">
        <v>86</v>
      </c>
      <c r="BF57">
        <v>96</v>
      </c>
      <c r="BG57">
        <v>88</v>
      </c>
      <c r="BH57">
        <v>96</v>
      </c>
      <c r="BI57">
        <v>92</v>
      </c>
      <c r="BJ57">
        <v>82</v>
      </c>
      <c r="BK57">
        <v>83</v>
      </c>
      <c r="BL57">
        <v>81</v>
      </c>
      <c r="BM57">
        <v>83</v>
      </c>
      <c r="BN57">
        <v>92</v>
      </c>
      <c r="BO57">
        <v>90</v>
      </c>
      <c r="BP57">
        <v>84</v>
      </c>
      <c r="BQ57">
        <v>86</v>
      </c>
      <c r="BR57" s="13">
        <v>92</v>
      </c>
      <c r="BS57">
        <v>90</v>
      </c>
      <c r="BT57">
        <v>90</v>
      </c>
      <c r="BU57">
        <v>89</v>
      </c>
      <c r="BV57">
        <v>85</v>
      </c>
      <c r="BW57">
        <v>85</v>
      </c>
      <c r="BX57">
        <v>85</v>
      </c>
      <c r="BY57">
        <v>89</v>
      </c>
      <c r="BZ57">
        <v>83</v>
      </c>
      <c r="CA57">
        <v>85</v>
      </c>
      <c r="CB57">
        <v>83</v>
      </c>
      <c r="CC57">
        <v>87</v>
      </c>
      <c r="CD57">
        <v>84</v>
      </c>
      <c r="CE57">
        <v>82</v>
      </c>
      <c r="CF57">
        <v>86</v>
      </c>
      <c r="CG57">
        <v>88</v>
      </c>
      <c r="CH57" s="17" t="s">
        <v>1033</v>
      </c>
      <c r="CI57" s="18" t="s">
        <v>994</v>
      </c>
      <c r="CJ57" s="18" t="s">
        <v>1271</v>
      </c>
      <c r="CK57" s="17" t="s">
        <v>996</v>
      </c>
      <c r="CL57" s="17" t="s">
        <v>1084</v>
      </c>
      <c r="CM57" s="17" t="s">
        <v>1085</v>
      </c>
      <c r="CN57" s="17" t="s">
        <v>1086</v>
      </c>
      <c r="CO57" s="17" t="s">
        <v>996</v>
      </c>
      <c r="CT57">
        <v>88.6666666666667</v>
      </c>
      <c r="CU57">
        <v>85</v>
      </c>
      <c r="CV57">
        <v>85</v>
      </c>
      <c r="CW57">
        <v>86</v>
      </c>
      <c r="CX57" s="13">
        <v>84</v>
      </c>
      <c r="CY57">
        <v>88</v>
      </c>
      <c r="CZ57" s="13">
        <f t="shared" si="0"/>
        <v>85.333333333333329</v>
      </c>
      <c r="DA57" s="13">
        <f t="shared" si="1"/>
        <v>87</v>
      </c>
      <c r="DB57" s="13">
        <f t="shared" si="2"/>
        <v>82.333333333333329</v>
      </c>
      <c r="DC57" s="13">
        <f t="shared" si="3"/>
        <v>88</v>
      </c>
      <c r="DD57" s="13">
        <f t="shared" si="4"/>
        <v>87.5</v>
      </c>
      <c r="DE57" s="13">
        <f t="shared" si="5"/>
        <v>83</v>
      </c>
      <c r="DF57" s="13">
        <f t="shared" si="6"/>
        <v>84.25</v>
      </c>
      <c r="DG57" s="13">
        <f t="shared" si="7"/>
        <v>87</v>
      </c>
      <c r="DH57" s="13">
        <f t="shared" si="8"/>
        <v>86</v>
      </c>
      <c r="DI57" s="13">
        <f t="shared" si="9"/>
        <v>86</v>
      </c>
      <c r="DJ57" s="13">
        <f t="shared" si="10"/>
        <v>83</v>
      </c>
      <c r="DK57" s="13">
        <f t="shared" si="11"/>
        <v>92</v>
      </c>
      <c r="DL57" s="13">
        <f t="shared" si="12"/>
        <v>82.5</v>
      </c>
      <c r="DM57" s="13">
        <f t="shared" si="13"/>
        <v>94</v>
      </c>
      <c r="DN57" s="13">
        <f t="shared" si="14"/>
        <v>82</v>
      </c>
      <c r="DO57" s="13">
        <f t="shared" si="15"/>
        <v>90.25</v>
      </c>
      <c r="DP57" s="13">
        <f t="shared" si="16"/>
        <v>88</v>
      </c>
      <c r="DQ57" s="13">
        <f t="shared" si="17"/>
        <v>84</v>
      </c>
      <c r="DR57" s="13">
        <f t="shared" si="18"/>
        <v>84</v>
      </c>
      <c r="DS57">
        <f t="shared" si="19"/>
        <v>86</v>
      </c>
      <c r="DT57">
        <f t="shared" si="20"/>
        <v>82.333333333333329</v>
      </c>
      <c r="DU57">
        <f t="shared" si="21"/>
        <v>87</v>
      </c>
      <c r="DV57" s="31">
        <f t="shared" si="22"/>
        <v>86.005952380952394</v>
      </c>
    </row>
    <row r="58" spans="1:126">
      <c r="A58">
        <v>57</v>
      </c>
      <c r="B58">
        <f>'DATA US'!B71</f>
        <v>222310055</v>
      </c>
      <c r="C58" t="str">
        <f>'DATA US'!C71</f>
        <v>0066220245</v>
      </c>
      <c r="D58">
        <f>'DATA US'!B153</f>
        <v>222310135</v>
      </c>
      <c r="E58" t="str">
        <f>'DATA US'!C153</f>
        <v>0066712083</v>
      </c>
      <c r="F58" t="str">
        <f>'DATA US'!F153</f>
        <v>Bekasi</v>
      </c>
      <c r="G58" s="7" t="s">
        <v>834</v>
      </c>
      <c r="H58" t="str">
        <f>'DATA US'!D153</f>
        <v>RIKO JULIANTO</v>
      </c>
      <c r="I58">
        <v>81</v>
      </c>
      <c r="J58">
        <v>79</v>
      </c>
      <c r="K58">
        <v>86</v>
      </c>
      <c r="L58">
        <v>85</v>
      </c>
      <c r="M58">
        <v>83</v>
      </c>
      <c r="N58">
        <v>84</v>
      </c>
      <c r="O58">
        <v>80</v>
      </c>
      <c r="P58">
        <v>83</v>
      </c>
      <c r="Q58">
        <v>81</v>
      </c>
      <c r="R58">
        <v>83</v>
      </c>
      <c r="S58">
        <v>83</v>
      </c>
      <c r="T58">
        <v>84</v>
      </c>
      <c r="U58">
        <v>79</v>
      </c>
      <c r="V58">
        <v>85</v>
      </c>
      <c r="W58">
        <v>84</v>
      </c>
      <c r="X58">
        <v>86</v>
      </c>
      <c r="Y58">
        <v>84</v>
      </c>
      <c r="Z58">
        <v>85</v>
      </c>
      <c r="AA58">
        <v>79</v>
      </c>
      <c r="AB58">
        <v>75</v>
      </c>
      <c r="AC58">
        <v>75</v>
      </c>
      <c r="AD58">
        <v>84</v>
      </c>
      <c r="AE58">
        <v>88</v>
      </c>
      <c r="AF58">
        <v>88</v>
      </c>
      <c r="AG58">
        <v>78</v>
      </c>
      <c r="AH58">
        <v>79</v>
      </c>
      <c r="AI58">
        <v>87</v>
      </c>
      <c r="AJ58">
        <v>84</v>
      </c>
      <c r="AK58">
        <v>84</v>
      </c>
      <c r="AL58">
        <v>88</v>
      </c>
      <c r="AM58">
        <v>83</v>
      </c>
      <c r="AN58">
        <v>84</v>
      </c>
      <c r="AR58">
        <v>81</v>
      </c>
      <c r="AS58">
        <v>81</v>
      </c>
      <c r="AT58">
        <v>80</v>
      </c>
      <c r="AU58">
        <v>81</v>
      </c>
      <c r="AV58">
        <v>88</v>
      </c>
      <c r="AW58">
        <v>83</v>
      </c>
      <c r="AZ58">
        <v>76</v>
      </c>
      <c r="BA58">
        <v>83</v>
      </c>
      <c r="BB58">
        <v>84</v>
      </c>
      <c r="BC58">
        <v>84</v>
      </c>
      <c r="BD58">
        <v>84</v>
      </c>
      <c r="BE58">
        <v>84</v>
      </c>
      <c r="BF58">
        <v>92</v>
      </c>
      <c r="BG58">
        <v>85</v>
      </c>
      <c r="BH58">
        <v>93</v>
      </c>
      <c r="BI58">
        <v>89</v>
      </c>
      <c r="BJ58">
        <v>77</v>
      </c>
      <c r="BK58">
        <v>81</v>
      </c>
      <c r="BL58">
        <v>79</v>
      </c>
      <c r="BM58">
        <v>82</v>
      </c>
      <c r="BN58">
        <v>85</v>
      </c>
      <c r="BO58">
        <v>82</v>
      </c>
      <c r="BP58">
        <v>84</v>
      </c>
      <c r="BQ58">
        <v>86</v>
      </c>
      <c r="BR58" s="13">
        <v>85</v>
      </c>
      <c r="BS58">
        <v>84</v>
      </c>
      <c r="BT58">
        <v>89</v>
      </c>
      <c r="BU58">
        <v>88</v>
      </c>
      <c r="BV58">
        <v>81</v>
      </c>
      <c r="BW58">
        <v>84</v>
      </c>
      <c r="BX58">
        <v>85</v>
      </c>
      <c r="BY58">
        <v>88</v>
      </c>
      <c r="BZ58">
        <v>82</v>
      </c>
      <c r="CA58">
        <v>84</v>
      </c>
      <c r="CB58">
        <v>82</v>
      </c>
      <c r="CC58">
        <v>82</v>
      </c>
      <c r="CD58">
        <v>83</v>
      </c>
      <c r="CE58">
        <v>82</v>
      </c>
      <c r="CF58">
        <v>81</v>
      </c>
      <c r="CG58">
        <v>84</v>
      </c>
      <c r="CH58" s="17" t="s">
        <v>1033</v>
      </c>
      <c r="CI58" s="17" t="s">
        <v>994</v>
      </c>
      <c r="CJ58" s="17" t="s">
        <v>1226</v>
      </c>
      <c r="CK58" s="17" t="s">
        <v>996</v>
      </c>
      <c r="CT58">
        <v>90</v>
      </c>
      <c r="CU58">
        <v>83</v>
      </c>
      <c r="CV58">
        <v>84</v>
      </c>
      <c r="CW58">
        <v>89</v>
      </c>
      <c r="CX58" s="13">
        <v>83</v>
      </c>
      <c r="CY58">
        <v>88</v>
      </c>
      <c r="CZ58" s="13">
        <f t="shared" si="0"/>
        <v>83</v>
      </c>
      <c r="DA58" s="13">
        <f t="shared" si="1"/>
        <v>82.333333333333329</v>
      </c>
      <c r="DB58" s="13">
        <f t="shared" si="2"/>
        <v>81.5</v>
      </c>
      <c r="DC58" s="13">
        <f t="shared" si="3"/>
        <v>83.833333333333329</v>
      </c>
      <c r="DD58" s="13">
        <f t="shared" si="4"/>
        <v>83.333333333333329</v>
      </c>
      <c r="DE58" s="13">
        <f t="shared" si="5"/>
        <v>81</v>
      </c>
      <c r="DF58" s="13">
        <f t="shared" si="6"/>
        <v>83</v>
      </c>
      <c r="DG58" s="13">
        <f t="shared" si="7"/>
        <v>82.5</v>
      </c>
      <c r="DH58" s="13">
        <f t="shared" si="8"/>
        <v>84</v>
      </c>
      <c r="DI58" s="13">
        <f t="shared" si="9"/>
        <v>84</v>
      </c>
      <c r="DJ58" s="13">
        <f t="shared" si="10"/>
        <v>79.5</v>
      </c>
      <c r="DK58" s="13">
        <f t="shared" si="11"/>
        <v>88.5</v>
      </c>
      <c r="DL58" s="13">
        <f t="shared" si="12"/>
        <v>79</v>
      </c>
      <c r="DM58" s="13">
        <f t="shared" si="13"/>
        <v>91</v>
      </c>
      <c r="DN58" s="13">
        <f t="shared" si="14"/>
        <v>80.5</v>
      </c>
      <c r="DO58" s="13">
        <f t="shared" si="15"/>
        <v>86.5</v>
      </c>
      <c r="DP58" s="13">
        <f t="shared" si="16"/>
        <v>84.25</v>
      </c>
      <c r="DQ58" s="13">
        <f t="shared" si="17"/>
        <v>82.25</v>
      </c>
      <c r="DR58" s="13">
        <f t="shared" si="18"/>
        <v>83</v>
      </c>
      <c r="DS58">
        <f t="shared" si="19"/>
        <v>84.5</v>
      </c>
      <c r="DT58">
        <f t="shared" si="20"/>
        <v>81.5</v>
      </c>
      <c r="DU58">
        <f t="shared" si="21"/>
        <v>83.5</v>
      </c>
      <c r="DV58" s="31">
        <f t="shared" si="22"/>
        <v>83.910714285714292</v>
      </c>
    </row>
    <row r="59" spans="1:126" s="4" customFormat="1" ht="20.55" customHeight="1">
      <c r="A59">
        <v>58</v>
      </c>
      <c r="B59" s="2">
        <f>'DATA US'!B72</f>
        <v>222310056</v>
      </c>
      <c r="C59" s="2" t="str">
        <f>'DATA US'!C72</f>
        <v>0069773854</v>
      </c>
      <c r="D59">
        <f>'DATA US'!B154</f>
        <v>222310136</v>
      </c>
      <c r="E59" t="str">
        <f>'DATA US'!C154</f>
        <v>0076747595</v>
      </c>
      <c r="F59" t="str">
        <f>'DATA US'!F154</f>
        <v>Bekasi</v>
      </c>
      <c r="G59" s="7" t="s">
        <v>839</v>
      </c>
      <c r="H59" t="str">
        <f>'DATA US'!D154</f>
        <v>SALSA BILA MAHMUD</v>
      </c>
      <c r="I59" s="8">
        <v>82</v>
      </c>
      <c r="J59" s="9">
        <v>77</v>
      </c>
      <c r="K59" s="8">
        <v>85</v>
      </c>
      <c r="L59" s="8">
        <v>87</v>
      </c>
      <c r="M59" s="8">
        <v>85</v>
      </c>
      <c r="N59" s="8">
        <v>85</v>
      </c>
      <c r="O59" s="8">
        <v>82</v>
      </c>
      <c r="P59" s="8">
        <v>83</v>
      </c>
      <c r="Q59" s="9">
        <v>82</v>
      </c>
      <c r="R59" s="8">
        <v>82</v>
      </c>
      <c r="S59" s="8">
        <v>83</v>
      </c>
      <c r="T59" s="8">
        <v>85</v>
      </c>
      <c r="U59" s="8">
        <v>78</v>
      </c>
      <c r="V59" s="8">
        <v>82</v>
      </c>
      <c r="W59" s="8">
        <v>82</v>
      </c>
      <c r="X59" s="9">
        <v>86</v>
      </c>
      <c r="Y59" s="8">
        <v>83</v>
      </c>
      <c r="Z59" s="8">
        <v>83</v>
      </c>
      <c r="AA59" s="8">
        <v>75</v>
      </c>
      <c r="AB59" s="8">
        <v>76</v>
      </c>
      <c r="AC59" s="8">
        <v>76</v>
      </c>
      <c r="AD59" s="8">
        <v>85</v>
      </c>
      <c r="AE59" s="9">
        <v>86</v>
      </c>
      <c r="AF59" s="9">
        <v>90</v>
      </c>
      <c r="AG59" s="8">
        <v>79</v>
      </c>
      <c r="AH59" s="8">
        <v>77</v>
      </c>
      <c r="AI59" s="8">
        <v>86</v>
      </c>
      <c r="AJ59" s="8">
        <v>86</v>
      </c>
      <c r="AK59" s="9">
        <v>88</v>
      </c>
      <c r="AL59" s="4">
        <v>88</v>
      </c>
      <c r="AM59" s="8">
        <v>85</v>
      </c>
      <c r="AN59" s="8">
        <v>85</v>
      </c>
      <c r="AO59" s="8"/>
      <c r="AP59" s="8"/>
      <c r="AQ59" s="10"/>
      <c r="AR59" s="10">
        <v>81</v>
      </c>
      <c r="AS59" s="11">
        <v>80</v>
      </c>
      <c r="AT59" s="11">
        <v>81</v>
      </c>
      <c r="AU59" s="11">
        <v>81</v>
      </c>
      <c r="AV59" s="2">
        <v>85</v>
      </c>
      <c r="AW59" s="10">
        <v>84</v>
      </c>
      <c r="AX59" s="9"/>
      <c r="AY59" s="8"/>
      <c r="AZ59" s="9">
        <v>77</v>
      </c>
      <c r="BA59" s="8">
        <v>81</v>
      </c>
      <c r="BB59" s="8">
        <v>83</v>
      </c>
      <c r="BC59" s="10">
        <v>84</v>
      </c>
      <c r="BD59" s="9">
        <v>83</v>
      </c>
      <c r="BE59" s="10">
        <v>83</v>
      </c>
      <c r="BF59" s="9">
        <v>81</v>
      </c>
      <c r="BG59" s="10">
        <v>83</v>
      </c>
      <c r="BH59" s="9">
        <v>81</v>
      </c>
      <c r="BI59" s="10">
        <v>86</v>
      </c>
      <c r="BJ59" s="9">
        <v>80</v>
      </c>
      <c r="BK59" s="10">
        <v>80</v>
      </c>
      <c r="BL59" s="9">
        <v>78</v>
      </c>
      <c r="BM59" s="10">
        <v>81</v>
      </c>
      <c r="BN59" s="10">
        <v>86</v>
      </c>
      <c r="BO59" s="8">
        <v>85</v>
      </c>
      <c r="BP59" s="8">
        <v>84</v>
      </c>
      <c r="BQ59" s="8">
        <v>85</v>
      </c>
      <c r="BR59" s="16">
        <v>85</v>
      </c>
      <c r="BS59" s="8">
        <v>87</v>
      </c>
      <c r="BT59" s="8">
        <v>90</v>
      </c>
      <c r="BU59" s="8">
        <v>90</v>
      </c>
      <c r="BV59" s="8">
        <v>82</v>
      </c>
      <c r="BW59" s="8">
        <v>85</v>
      </c>
      <c r="BX59" s="8">
        <v>85</v>
      </c>
      <c r="BY59">
        <v>90</v>
      </c>
      <c r="BZ59">
        <v>82</v>
      </c>
      <c r="CA59">
        <v>84</v>
      </c>
      <c r="CB59">
        <v>82</v>
      </c>
      <c r="CC59">
        <v>82</v>
      </c>
      <c r="CD59">
        <v>83</v>
      </c>
      <c r="CE59">
        <v>82</v>
      </c>
      <c r="CF59">
        <v>82</v>
      </c>
      <c r="CG59">
        <v>83</v>
      </c>
      <c r="CH59" s="17" t="s">
        <v>1144</v>
      </c>
      <c r="CI59" s="17" t="s">
        <v>1145</v>
      </c>
      <c r="CJ59" s="18" t="s">
        <v>1227</v>
      </c>
      <c r="CK59" s="17" t="s">
        <v>996</v>
      </c>
      <c r="CL59" s="17"/>
      <c r="CM59"/>
      <c r="CN59"/>
      <c r="CO59"/>
      <c r="CP59"/>
      <c r="CQ59"/>
      <c r="CR59"/>
      <c r="CS59"/>
      <c r="CT59" s="4">
        <v>89.3333333333333</v>
      </c>
      <c r="CU59" s="4">
        <v>85.6666666666667</v>
      </c>
      <c r="CV59" s="4">
        <v>83</v>
      </c>
      <c r="CW59" s="4">
        <v>81</v>
      </c>
      <c r="CX59" s="35">
        <v>82.5</v>
      </c>
      <c r="CY59" s="4">
        <v>88</v>
      </c>
      <c r="CZ59" s="13">
        <f t="shared" si="0"/>
        <v>83.5</v>
      </c>
      <c r="DA59" s="13">
        <f t="shared" si="1"/>
        <v>82.833333333333329</v>
      </c>
      <c r="DB59" s="13">
        <f t="shared" si="2"/>
        <v>81.333333333333329</v>
      </c>
      <c r="DC59" s="13">
        <f t="shared" si="3"/>
        <v>82.333333333333329</v>
      </c>
      <c r="DD59" s="13">
        <f t="shared" si="4"/>
        <v>84</v>
      </c>
      <c r="DE59" s="13">
        <f t="shared" si="5"/>
        <v>80.5</v>
      </c>
      <c r="DF59" s="13">
        <f t="shared" si="6"/>
        <v>82.75</v>
      </c>
      <c r="DG59" s="13">
        <f t="shared" si="7"/>
        <v>82.5</v>
      </c>
      <c r="DH59" s="13">
        <f t="shared" si="8"/>
        <v>83</v>
      </c>
      <c r="DI59" s="13">
        <f t="shared" si="9"/>
        <v>83.5</v>
      </c>
      <c r="DJ59" s="13">
        <f t="shared" si="10"/>
        <v>79</v>
      </c>
      <c r="DK59" s="13">
        <f t="shared" si="11"/>
        <v>82</v>
      </c>
      <c r="DL59" s="13">
        <f t="shared" si="12"/>
        <v>80</v>
      </c>
      <c r="DM59" s="13">
        <f t="shared" si="13"/>
        <v>83.5</v>
      </c>
      <c r="DN59" s="13">
        <f t="shared" si="14"/>
        <v>79.5</v>
      </c>
      <c r="DO59" s="13">
        <f t="shared" si="15"/>
        <v>88</v>
      </c>
      <c r="DP59" s="13">
        <f t="shared" si="16"/>
        <v>85</v>
      </c>
      <c r="DQ59" s="13">
        <f t="shared" si="17"/>
        <v>82.25</v>
      </c>
      <c r="DR59" s="13">
        <f t="shared" si="18"/>
        <v>83</v>
      </c>
      <c r="DS59">
        <f t="shared" si="19"/>
        <v>85.5</v>
      </c>
      <c r="DT59">
        <f t="shared" si="20"/>
        <v>81.333333333333329</v>
      </c>
      <c r="DU59">
        <f t="shared" si="21"/>
        <v>85</v>
      </c>
      <c r="DV59" s="31">
        <f t="shared" si="22"/>
        <v>83.208333333333343</v>
      </c>
    </row>
    <row r="60" spans="1:126" s="4" customFormat="1" ht="20.100000000000001" customHeight="1">
      <c r="A60">
        <v>59</v>
      </c>
      <c r="B60" s="2">
        <f>'DATA US'!B73</f>
        <v>222310057</v>
      </c>
      <c r="C60" s="2" t="str">
        <f>'DATA US'!C73</f>
        <v>0066401952</v>
      </c>
      <c r="D60">
        <f>'DATA US'!B155</f>
        <v>222310137</v>
      </c>
      <c r="E60" t="str">
        <f>'DATA US'!C155</f>
        <v>0078968270</v>
      </c>
      <c r="F60" t="str">
        <f>'DATA US'!F155</f>
        <v>Bekasi</v>
      </c>
      <c r="G60" s="7" t="s">
        <v>845</v>
      </c>
      <c r="H60" t="str">
        <f>'DATA US'!D155</f>
        <v>SILVIA NUROHMAH</v>
      </c>
      <c r="I60" s="8">
        <v>84</v>
      </c>
      <c r="J60" s="9">
        <v>82</v>
      </c>
      <c r="K60" s="8">
        <v>89</v>
      </c>
      <c r="L60" s="8">
        <v>90</v>
      </c>
      <c r="M60" s="8">
        <v>84</v>
      </c>
      <c r="N60" s="8">
        <v>86</v>
      </c>
      <c r="O60" s="8">
        <v>86</v>
      </c>
      <c r="P60" s="8">
        <v>86</v>
      </c>
      <c r="Q60" s="9">
        <v>86</v>
      </c>
      <c r="R60" s="8">
        <v>86</v>
      </c>
      <c r="S60" s="8">
        <v>86</v>
      </c>
      <c r="T60" s="8">
        <v>90</v>
      </c>
      <c r="U60" s="8">
        <v>79</v>
      </c>
      <c r="V60" s="8">
        <v>80</v>
      </c>
      <c r="W60" s="8">
        <v>90</v>
      </c>
      <c r="X60" s="9">
        <v>94</v>
      </c>
      <c r="Y60" s="8">
        <v>88</v>
      </c>
      <c r="Z60" s="8">
        <v>89</v>
      </c>
      <c r="AA60" s="8">
        <v>81</v>
      </c>
      <c r="AB60" s="8">
        <v>85</v>
      </c>
      <c r="AC60" s="8">
        <v>85</v>
      </c>
      <c r="AD60" s="8">
        <v>89</v>
      </c>
      <c r="AE60" s="9">
        <v>85</v>
      </c>
      <c r="AF60" s="9">
        <v>91</v>
      </c>
      <c r="AG60" s="8">
        <v>80</v>
      </c>
      <c r="AH60" s="8">
        <v>82</v>
      </c>
      <c r="AI60" s="8">
        <v>85</v>
      </c>
      <c r="AJ60" s="8">
        <v>93</v>
      </c>
      <c r="AK60" s="9">
        <v>92</v>
      </c>
      <c r="AL60" s="4">
        <v>94</v>
      </c>
      <c r="AM60" s="8">
        <v>87</v>
      </c>
      <c r="AN60" s="8">
        <v>88</v>
      </c>
      <c r="AO60" s="8"/>
      <c r="AP60" s="8"/>
      <c r="AQ60" s="10"/>
      <c r="AR60" s="10">
        <v>84</v>
      </c>
      <c r="AS60" s="12">
        <v>83</v>
      </c>
      <c r="AT60" s="12">
        <v>81</v>
      </c>
      <c r="AU60" s="12">
        <v>81</v>
      </c>
      <c r="AV60" s="2">
        <v>85</v>
      </c>
      <c r="AW60" s="10">
        <v>85</v>
      </c>
      <c r="AX60" s="9"/>
      <c r="AY60" s="8"/>
      <c r="AZ60" s="9">
        <v>80</v>
      </c>
      <c r="BA60" s="8">
        <v>87</v>
      </c>
      <c r="BB60" s="8">
        <v>86</v>
      </c>
      <c r="BC60" s="10">
        <v>87</v>
      </c>
      <c r="BD60" s="9">
        <v>86</v>
      </c>
      <c r="BE60" s="10">
        <v>86</v>
      </c>
      <c r="BF60" s="9">
        <v>97</v>
      </c>
      <c r="BG60" s="10">
        <v>87</v>
      </c>
      <c r="BH60" s="9">
        <v>97</v>
      </c>
      <c r="BI60" s="10">
        <v>93</v>
      </c>
      <c r="BJ60" s="9">
        <v>81</v>
      </c>
      <c r="BK60" s="10">
        <v>85</v>
      </c>
      <c r="BL60" s="9">
        <v>85</v>
      </c>
      <c r="BM60" s="10">
        <v>88</v>
      </c>
      <c r="BN60" s="10">
        <v>87</v>
      </c>
      <c r="BO60" s="8">
        <v>87</v>
      </c>
      <c r="BP60" s="8">
        <v>85</v>
      </c>
      <c r="BQ60" s="8">
        <v>87</v>
      </c>
      <c r="BR60" s="16">
        <v>92</v>
      </c>
      <c r="BS60" s="8">
        <v>90</v>
      </c>
      <c r="BT60" s="8">
        <v>91</v>
      </c>
      <c r="BU60" s="8">
        <v>90</v>
      </c>
      <c r="BV60" s="8">
        <v>86</v>
      </c>
      <c r="BW60" s="8">
        <v>89</v>
      </c>
      <c r="BX60" s="8">
        <v>86</v>
      </c>
      <c r="BY60">
        <v>90</v>
      </c>
      <c r="BZ60">
        <v>83</v>
      </c>
      <c r="CA60">
        <v>85</v>
      </c>
      <c r="CB60">
        <v>80</v>
      </c>
      <c r="CC60">
        <v>86</v>
      </c>
      <c r="CD60">
        <v>85</v>
      </c>
      <c r="CE60">
        <v>82</v>
      </c>
      <c r="CF60">
        <v>85</v>
      </c>
      <c r="CG60">
        <v>87</v>
      </c>
      <c r="CH60" s="17" t="s">
        <v>1228</v>
      </c>
      <c r="CI60" s="17" t="s">
        <v>1145</v>
      </c>
      <c r="CJ60" s="17" t="s">
        <v>1146</v>
      </c>
      <c r="CK60" s="17" t="s">
        <v>1000</v>
      </c>
      <c r="CL60" s="304" t="s">
        <v>1202</v>
      </c>
      <c r="CM60" s="17" t="s">
        <v>1203</v>
      </c>
      <c r="CN60" s="17" t="s">
        <v>1204</v>
      </c>
      <c r="CO60" s="305" t="s">
        <v>1000</v>
      </c>
      <c r="CP60"/>
      <c r="CQ60"/>
      <c r="CR60"/>
      <c r="CS60"/>
      <c r="CT60" s="4">
        <v>90.6666666666667</v>
      </c>
      <c r="CU60" s="4">
        <v>85.6666666666667</v>
      </c>
      <c r="CV60" s="4">
        <v>92</v>
      </c>
      <c r="CW60" s="4">
        <v>89</v>
      </c>
      <c r="CX60" s="35">
        <v>86.5</v>
      </c>
      <c r="CY60" s="4">
        <v>88</v>
      </c>
      <c r="CZ60" s="13">
        <f t="shared" si="0"/>
        <v>85.833333333333329</v>
      </c>
      <c r="DA60" s="13">
        <f t="shared" si="1"/>
        <v>86.666666666666671</v>
      </c>
      <c r="DB60" s="13">
        <f t="shared" si="2"/>
        <v>86</v>
      </c>
      <c r="DC60" s="13">
        <f t="shared" si="3"/>
        <v>86.666666666666671</v>
      </c>
      <c r="DD60" s="13">
        <f t="shared" si="4"/>
        <v>87.666666666666671</v>
      </c>
      <c r="DE60" s="13">
        <f t="shared" si="5"/>
        <v>83.5</v>
      </c>
      <c r="DF60" s="13">
        <f t="shared" si="6"/>
        <v>83</v>
      </c>
      <c r="DG60" s="13">
        <f t="shared" si="7"/>
        <v>86</v>
      </c>
      <c r="DH60" s="13">
        <f t="shared" si="8"/>
        <v>86</v>
      </c>
      <c r="DI60" s="13">
        <f t="shared" si="9"/>
        <v>86.5</v>
      </c>
      <c r="DJ60" s="13">
        <f t="shared" si="10"/>
        <v>83.5</v>
      </c>
      <c r="DK60" s="13">
        <f t="shared" si="11"/>
        <v>92</v>
      </c>
      <c r="DL60" s="13">
        <f t="shared" si="12"/>
        <v>83</v>
      </c>
      <c r="DM60" s="13">
        <f t="shared" si="13"/>
        <v>95</v>
      </c>
      <c r="DN60" s="13">
        <f t="shared" si="14"/>
        <v>86.5</v>
      </c>
      <c r="DO60" s="13">
        <f t="shared" si="15"/>
        <v>90.75</v>
      </c>
      <c r="DP60" s="13">
        <f t="shared" si="16"/>
        <v>86.5</v>
      </c>
      <c r="DQ60" s="13">
        <f t="shared" si="17"/>
        <v>83.25</v>
      </c>
      <c r="DR60" s="13">
        <f t="shared" si="18"/>
        <v>84</v>
      </c>
      <c r="DS60">
        <f t="shared" si="19"/>
        <v>87.75</v>
      </c>
      <c r="DT60">
        <f t="shared" si="20"/>
        <v>86</v>
      </c>
      <c r="DU60">
        <f t="shared" si="21"/>
        <v>87.5</v>
      </c>
      <c r="DV60" s="31">
        <f t="shared" si="22"/>
        <v>86.979166666666657</v>
      </c>
    </row>
    <row r="61" spans="1:126" s="4" customFormat="1" ht="20.100000000000001" customHeight="1">
      <c r="A61">
        <v>60</v>
      </c>
      <c r="B61" s="2">
        <f>'DATA US'!B74</f>
        <v>222310058</v>
      </c>
      <c r="C61" s="2" t="str">
        <f>'DATA US'!C74</f>
        <v>0072498885</v>
      </c>
      <c r="D61">
        <f>'DATA US'!B156</f>
        <v>222310138</v>
      </c>
      <c r="E61" t="str">
        <f>'DATA US'!C156</f>
        <v>0076329241</v>
      </c>
      <c r="F61" t="str">
        <f>'DATA US'!F156</f>
        <v>Bekasi</v>
      </c>
      <c r="G61" s="7" t="s">
        <v>851</v>
      </c>
      <c r="H61" t="str">
        <f>'DATA US'!D156</f>
        <v>SINTIA LESTARI</v>
      </c>
      <c r="I61" s="8">
        <v>82</v>
      </c>
      <c r="J61" s="9">
        <v>78</v>
      </c>
      <c r="K61" s="8">
        <v>86</v>
      </c>
      <c r="L61" s="8">
        <v>85</v>
      </c>
      <c r="M61" s="8">
        <v>83</v>
      </c>
      <c r="N61" s="8">
        <v>84</v>
      </c>
      <c r="O61" s="8">
        <v>80</v>
      </c>
      <c r="P61" s="8">
        <v>83</v>
      </c>
      <c r="Q61" s="9">
        <v>82</v>
      </c>
      <c r="R61" s="8">
        <v>83</v>
      </c>
      <c r="S61" s="8">
        <v>84</v>
      </c>
      <c r="T61" s="8">
        <v>85</v>
      </c>
      <c r="U61" s="8">
        <v>79</v>
      </c>
      <c r="V61" s="8">
        <v>83</v>
      </c>
      <c r="W61" s="8">
        <v>83</v>
      </c>
      <c r="X61" s="9">
        <v>87</v>
      </c>
      <c r="Y61" s="8">
        <v>82</v>
      </c>
      <c r="Z61" s="8">
        <v>82</v>
      </c>
      <c r="AA61" s="8">
        <v>75</v>
      </c>
      <c r="AB61" s="8">
        <v>76</v>
      </c>
      <c r="AC61" s="8">
        <v>76</v>
      </c>
      <c r="AD61" s="8">
        <v>85</v>
      </c>
      <c r="AE61" s="9">
        <v>87</v>
      </c>
      <c r="AF61" s="9">
        <v>88</v>
      </c>
      <c r="AG61" s="8">
        <v>80</v>
      </c>
      <c r="AH61" s="8">
        <v>78</v>
      </c>
      <c r="AI61" s="8">
        <v>85</v>
      </c>
      <c r="AJ61" s="8">
        <v>88</v>
      </c>
      <c r="AK61" s="9">
        <v>87</v>
      </c>
      <c r="AL61" s="4">
        <v>88</v>
      </c>
      <c r="AM61" s="8">
        <v>84</v>
      </c>
      <c r="AN61" s="8">
        <v>83</v>
      </c>
      <c r="AO61" s="8"/>
      <c r="AP61" s="8"/>
      <c r="AQ61" s="10"/>
      <c r="AR61" s="10">
        <v>83</v>
      </c>
      <c r="AS61" s="12">
        <v>80</v>
      </c>
      <c r="AT61" s="12">
        <v>81</v>
      </c>
      <c r="AU61" s="12">
        <v>81</v>
      </c>
      <c r="AV61" s="2">
        <v>87</v>
      </c>
      <c r="AW61" s="10">
        <v>84</v>
      </c>
      <c r="AX61" s="9"/>
      <c r="AY61" s="8"/>
      <c r="AZ61" s="9">
        <v>77</v>
      </c>
      <c r="BA61" s="8">
        <v>84</v>
      </c>
      <c r="BB61" s="8">
        <v>83</v>
      </c>
      <c r="BC61" s="10">
        <v>83</v>
      </c>
      <c r="BD61" s="9">
        <v>84</v>
      </c>
      <c r="BE61" s="10">
        <v>84</v>
      </c>
      <c r="BF61" s="9">
        <v>88</v>
      </c>
      <c r="BG61" s="10">
        <v>82</v>
      </c>
      <c r="BH61" s="9">
        <v>89</v>
      </c>
      <c r="BI61" s="10">
        <v>87</v>
      </c>
      <c r="BJ61" s="9">
        <v>77</v>
      </c>
      <c r="BK61" s="10">
        <v>80</v>
      </c>
      <c r="BL61" s="9">
        <v>79</v>
      </c>
      <c r="BM61" s="10">
        <v>81</v>
      </c>
      <c r="BN61" s="10">
        <v>84</v>
      </c>
      <c r="BO61" s="8">
        <v>84</v>
      </c>
      <c r="BP61" s="8">
        <v>84</v>
      </c>
      <c r="BQ61" s="8">
        <v>85</v>
      </c>
      <c r="BR61" s="16">
        <v>86</v>
      </c>
      <c r="BS61" s="8">
        <v>87</v>
      </c>
      <c r="BT61" s="8">
        <v>89</v>
      </c>
      <c r="BU61" s="8">
        <v>89</v>
      </c>
      <c r="BV61" s="8">
        <v>83</v>
      </c>
      <c r="BW61" s="8">
        <v>84</v>
      </c>
      <c r="BX61" s="8">
        <v>85</v>
      </c>
      <c r="BY61">
        <v>89</v>
      </c>
      <c r="BZ61">
        <v>82</v>
      </c>
      <c r="CA61">
        <v>84</v>
      </c>
      <c r="CB61">
        <v>84</v>
      </c>
      <c r="CC61">
        <v>83</v>
      </c>
      <c r="CD61">
        <v>83</v>
      </c>
      <c r="CE61">
        <v>82</v>
      </c>
      <c r="CF61">
        <v>82</v>
      </c>
      <c r="CG61">
        <v>84</v>
      </c>
      <c r="CH61" s="17" t="s">
        <v>1144</v>
      </c>
      <c r="CI61" s="17" t="s">
        <v>1145</v>
      </c>
      <c r="CJ61" s="17" t="s">
        <v>1229</v>
      </c>
      <c r="CK61" s="17" t="s">
        <v>996</v>
      </c>
      <c r="CL61" s="17"/>
      <c r="CM61"/>
      <c r="CN61"/>
      <c r="CO61"/>
      <c r="CP61"/>
      <c r="CQ61"/>
      <c r="CR61"/>
      <c r="CS61"/>
      <c r="CT61" s="4">
        <v>91.6666666666667</v>
      </c>
      <c r="CU61" s="4">
        <v>84.3333333333333</v>
      </c>
      <c r="CV61" s="4">
        <v>86</v>
      </c>
      <c r="CW61" s="4">
        <v>82</v>
      </c>
      <c r="CX61" s="35">
        <v>83.5</v>
      </c>
      <c r="CY61" s="4">
        <v>88</v>
      </c>
      <c r="CZ61" s="13">
        <f t="shared" si="0"/>
        <v>83</v>
      </c>
      <c r="DA61" s="13">
        <f t="shared" si="1"/>
        <v>82.833333333333329</v>
      </c>
      <c r="DB61" s="13">
        <f t="shared" si="2"/>
        <v>81.166666666666671</v>
      </c>
      <c r="DC61" s="13">
        <f t="shared" si="3"/>
        <v>82.666666666666671</v>
      </c>
      <c r="DD61" s="13">
        <f t="shared" si="4"/>
        <v>84.333333333333329</v>
      </c>
      <c r="DE61" s="13">
        <f t="shared" si="5"/>
        <v>81.5</v>
      </c>
      <c r="DF61" s="13">
        <f t="shared" si="6"/>
        <v>83.25</v>
      </c>
      <c r="DG61" s="13">
        <f t="shared" si="7"/>
        <v>83</v>
      </c>
      <c r="DH61" s="13">
        <f t="shared" si="8"/>
        <v>84</v>
      </c>
      <c r="DI61" s="13">
        <f t="shared" si="9"/>
        <v>83</v>
      </c>
      <c r="DJ61" s="13">
        <f t="shared" si="10"/>
        <v>80.5</v>
      </c>
      <c r="DK61" s="13">
        <f t="shared" si="11"/>
        <v>85</v>
      </c>
      <c r="DL61" s="13">
        <f t="shared" si="12"/>
        <v>78.5</v>
      </c>
      <c r="DM61" s="13">
        <f t="shared" si="13"/>
        <v>88</v>
      </c>
      <c r="DN61" s="13">
        <f t="shared" si="14"/>
        <v>80</v>
      </c>
      <c r="DO61" s="13">
        <f t="shared" si="15"/>
        <v>87.75</v>
      </c>
      <c r="DP61" s="13">
        <f t="shared" si="16"/>
        <v>84.25</v>
      </c>
      <c r="DQ61" s="13">
        <f t="shared" si="17"/>
        <v>83</v>
      </c>
      <c r="DR61" s="13">
        <f t="shared" si="18"/>
        <v>83</v>
      </c>
      <c r="DS61">
        <f t="shared" si="19"/>
        <v>85.25</v>
      </c>
      <c r="DT61">
        <f t="shared" si="20"/>
        <v>81.166666666666671</v>
      </c>
      <c r="DU61">
        <f t="shared" si="21"/>
        <v>83.5</v>
      </c>
      <c r="DV61" s="31">
        <f t="shared" si="22"/>
        <v>83.720238095238088</v>
      </c>
    </row>
    <row r="62" spans="1:126" s="4" customFormat="1" ht="20.100000000000001" customHeight="1">
      <c r="A62">
        <v>61</v>
      </c>
      <c r="B62" s="2">
        <f>'DATA US'!B75</f>
        <v>222310148</v>
      </c>
      <c r="C62" s="2" t="str">
        <f>'DATA US'!C75</f>
        <v>0076027666</v>
      </c>
      <c r="D62">
        <f>'DATA US'!B157</f>
        <v>222310139</v>
      </c>
      <c r="E62" t="str">
        <f>'DATA US'!C157</f>
        <v>0077784003</v>
      </c>
      <c r="F62" t="str">
        <f>'DATA US'!F157</f>
        <v>Bekasi</v>
      </c>
      <c r="G62" s="7" t="s">
        <v>857</v>
      </c>
      <c r="H62" t="str">
        <f>'DATA US'!D157</f>
        <v>VILLY NUR SADELA</v>
      </c>
      <c r="I62" s="9">
        <v>83</v>
      </c>
      <c r="J62" s="10">
        <v>79</v>
      </c>
      <c r="K62" s="8">
        <v>86</v>
      </c>
      <c r="L62" s="8">
        <v>88</v>
      </c>
      <c r="M62" s="8">
        <v>84</v>
      </c>
      <c r="N62" s="8">
        <v>85</v>
      </c>
      <c r="O62" s="8">
        <v>82</v>
      </c>
      <c r="P62" s="10">
        <v>83</v>
      </c>
      <c r="Q62" s="10">
        <v>81</v>
      </c>
      <c r="R62" s="8">
        <v>82</v>
      </c>
      <c r="S62" s="8">
        <v>83</v>
      </c>
      <c r="T62" s="8">
        <v>85</v>
      </c>
      <c r="U62" s="8">
        <v>79</v>
      </c>
      <c r="V62" s="8">
        <v>82</v>
      </c>
      <c r="W62" s="10">
        <v>82</v>
      </c>
      <c r="X62" s="10">
        <v>86</v>
      </c>
      <c r="Y62" s="8">
        <v>82</v>
      </c>
      <c r="Z62" s="8">
        <v>83</v>
      </c>
      <c r="AA62" s="8">
        <v>81</v>
      </c>
      <c r="AB62" s="8">
        <v>76</v>
      </c>
      <c r="AC62" s="8">
        <v>76</v>
      </c>
      <c r="AD62" s="10">
        <v>85</v>
      </c>
      <c r="AE62" s="10">
        <v>83</v>
      </c>
      <c r="AF62" s="10">
        <v>86</v>
      </c>
      <c r="AG62" s="8">
        <v>79</v>
      </c>
      <c r="AH62" s="8">
        <v>79</v>
      </c>
      <c r="AI62" s="8">
        <v>82</v>
      </c>
      <c r="AJ62" s="10">
        <v>84</v>
      </c>
      <c r="AK62" s="10">
        <v>83</v>
      </c>
      <c r="AL62" s="4">
        <v>85</v>
      </c>
      <c r="AM62" s="8">
        <v>84</v>
      </c>
      <c r="AN62" s="8">
        <v>85</v>
      </c>
      <c r="AO62" s="8"/>
      <c r="AP62" s="8"/>
      <c r="AQ62" s="10"/>
      <c r="AR62" s="10">
        <v>83</v>
      </c>
      <c r="AS62" s="12">
        <v>80</v>
      </c>
      <c r="AT62" s="12">
        <v>81</v>
      </c>
      <c r="AU62" s="12">
        <v>81</v>
      </c>
      <c r="AV62" s="2">
        <v>88</v>
      </c>
      <c r="AW62" s="10">
        <v>85</v>
      </c>
      <c r="AX62" s="10"/>
      <c r="AY62" s="10"/>
      <c r="AZ62" s="10">
        <v>76</v>
      </c>
      <c r="BA62" s="8">
        <v>82</v>
      </c>
      <c r="BB62" s="8">
        <v>84</v>
      </c>
      <c r="BC62" s="10">
        <v>84</v>
      </c>
      <c r="BD62" s="10">
        <v>84</v>
      </c>
      <c r="BE62" s="10">
        <v>84</v>
      </c>
      <c r="BF62" s="10">
        <v>91</v>
      </c>
      <c r="BG62" s="10">
        <v>85</v>
      </c>
      <c r="BH62" s="10">
        <v>91</v>
      </c>
      <c r="BI62" s="10">
        <v>89</v>
      </c>
      <c r="BJ62" s="10">
        <v>80</v>
      </c>
      <c r="BK62" s="10">
        <v>81</v>
      </c>
      <c r="BL62" s="10">
        <v>80</v>
      </c>
      <c r="BM62" s="10">
        <v>83</v>
      </c>
      <c r="BN62" s="10">
        <v>83</v>
      </c>
      <c r="BO62" s="8">
        <v>82</v>
      </c>
      <c r="BP62" s="8">
        <v>84</v>
      </c>
      <c r="BQ62" s="8">
        <v>85</v>
      </c>
      <c r="BR62" s="16">
        <v>86</v>
      </c>
      <c r="BS62" s="8">
        <v>86</v>
      </c>
      <c r="BT62" s="8">
        <v>86</v>
      </c>
      <c r="BU62" s="8">
        <v>85</v>
      </c>
      <c r="BV62" s="8">
        <v>80</v>
      </c>
      <c r="BW62" s="8">
        <v>84</v>
      </c>
      <c r="BX62" s="8">
        <v>84</v>
      </c>
      <c r="BY62">
        <v>88</v>
      </c>
      <c r="BZ62">
        <v>83</v>
      </c>
      <c r="CA62">
        <v>84</v>
      </c>
      <c r="CB62">
        <v>83</v>
      </c>
      <c r="CC62">
        <v>82</v>
      </c>
      <c r="CD62">
        <v>83</v>
      </c>
      <c r="CE62">
        <v>81</v>
      </c>
      <c r="CF62">
        <v>83</v>
      </c>
      <c r="CG62">
        <v>85</v>
      </c>
      <c r="CH62" s="17" t="s">
        <v>1033</v>
      </c>
      <c r="CI62" s="17" t="s">
        <v>1222</v>
      </c>
      <c r="CJ62" s="17" t="s">
        <v>1223</v>
      </c>
      <c r="CK62" s="17" t="s">
        <v>996</v>
      </c>
      <c r="CL62" s="17" t="s">
        <v>1213</v>
      </c>
      <c r="CM62" s="17" t="s">
        <v>1154</v>
      </c>
      <c r="CN62" s="17"/>
      <c r="CO62" s="298" t="s">
        <v>996</v>
      </c>
      <c r="CP62"/>
      <c r="CQ62"/>
      <c r="CR62"/>
      <c r="CS62"/>
      <c r="CT62" s="4">
        <v>89.3333333333333</v>
      </c>
      <c r="CU62" s="4">
        <v>86</v>
      </c>
      <c r="CV62" s="4">
        <v>85</v>
      </c>
      <c r="CW62" s="4">
        <v>86</v>
      </c>
      <c r="CX62" s="35">
        <v>82.5</v>
      </c>
      <c r="CY62" s="4">
        <v>88</v>
      </c>
      <c r="CZ62" s="13">
        <f t="shared" si="0"/>
        <v>84.166666666666671</v>
      </c>
      <c r="DA62" s="13">
        <f t="shared" si="1"/>
        <v>82.666666666666671</v>
      </c>
      <c r="DB62" s="13">
        <f t="shared" si="2"/>
        <v>81.166666666666671</v>
      </c>
      <c r="DC62" s="13">
        <f t="shared" si="3"/>
        <v>82.333333333333329</v>
      </c>
      <c r="DD62" s="13">
        <f t="shared" si="4"/>
        <v>82</v>
      </c>
      <c r="DE62" s="13">
        <f t="shared" si="5"/>
        <v>81.5</v>
      </c>
      <c r="DF62" s="13">
        <f t="shared" si="6"/>
        <v>83.75</v>
      </c>
      <c r="DG62" s="13">
        <f t="shared" si="7"/>
        <v>84</v>
      </c>
      <c r="DH62" s="13">
        <f t="shared" si="8"/>
        <v>84</v>
      </c>
      <c r="DI62" s="13">
        <f t="shared" si="9"/>
        <v>84</v>
      </c>
      <c r="DJ62" s="13">
        <f t="shared" si="10"/>
        <v>79</v>
      </c>
      <c r="DK62" s="13">
        <f t="shared" si="11"/>
        <v>88</v>
      </c>
      <c r="DL62" s="13">
        <f t="shared" si="12"/>
        <v>80.5</v>
      </c>
      <c r="DM62" s="13">
        <f t="shared" si="13"/>
        <v>90</v>
      </c>
      <c r="DN62" s="13">
        <f t="shared" si="14"/>
        <v>81.5</v>
      </c>
      <c r="DO62" s="13">
        <f t="shared" si="15"/>
        <v>85.75</v>
      </c>
      <c r="DP62" s="13">
        <f t="shared" si="16"/>
        <v>83.5</v>
      </c>
      <c r="DQ62" s="13">
        <f t="shared" si="17"/>
        <v>82.25</v>
      </c>
      <c r="DR62" s="13">
        <f t="shared" si="18"/>
        <v>83.5</v>
      </c>
      <c r="DS62">
        <f t="shared" si="19"/>
        <v>84</v>
      </c>
      <c r="DT62">
        <f t="shared" si="20"/>
        <v>81.166666666666671</v>
      </c>
      <c r="DU62">
        <f t="shared" si="21"/>
        <v>84.5</v>
      </c>
      <c r="DV62" s="31">
        <f t="shared" si="22"/>
        <v>83.931547619047606</v>
      </c>
    </row>
    <row r="63" spans="1:126">
      <c r="CK63" s="17"/>
      <c r="CL63" s="17"/>
      <c r="CZ63" s="13" t="e">
        <f t="shared" si="0"/>
        <v>#DIV/0!</v>
      </c>
      <c r="DA63" s="13" t="e">
        <f t="shared" si="1"/>
        <v>#DIV/0!</v>
      </c>
      <c r="DB63" s="13" t="e">
        <f t="shared" si="2"/>
        <v>#DIV/0!</v>
      </c>
      <c r="DC63" s="13" t="e">
        <f t="shared" si="3"/>
        <v>#DIV/0!</v>
      </c>
      <c r="DD63" s="13" t="e">
        <f t="shared" si="4"/>
        <v>#DIV/0!</v>
      </c>
      <c r="DE63" s="13" t="e">
        <f t="shared" si="5"/>
        <v>#DIV/0!</v>
      </c>
      <c r="DF63" s="13" t="e">
        <f t="shared" si="6"/>
        <v>#DIV/0!</v>
      </c>
      <c r="DG63" s="13" t="e">
        <f t="shared" si="7"/>
        <v>#DIV/0!</v>
      </c>
      <c r="DH63" s="13" t="e">
        <f t="shared" si="8"/>
        <v>#DIV/0!</v>
      </c>
      <c r="DI63" s="13" t="e">
        <f t="shared" si="9"/>
        <v>#DIV/0!</v>
      </c>
      <c r="DJ63" s="13" t="e">
        <f t="shared" si="10"/>
        <v>#DIV/0!</v>
      </c>
      <c r="DK63" s="13" t="e">
        <f t="shared" si="11"/>
        <v>#DIV/0!</v>
      </c>
      <c r="DL63" s="13" t="e">
        <f t="shared" si="12"/>
        <v>#DIV/0!</v>
      </c>
      <c r="DM63" s="13" t="e">
        <f t="shared" si="13"/>
        <v>#DIV/0!</v>
      </c>
      <c r="DN63" s="13" t="e">
        <f t="shared" si="14"/>
        <v>#DIV/0!</v>
      </c>
      <c r="DO63" s="13" t="e">
        <f t="shared" si="15"/>
        <v>#DIV/0!</v>
      </c>
      <c r="DP63" s="13" t="e">
        <f t="shared" si="16"/>
        <v>#DIV/0!</v>
      </c>
      <c r="DQ63" s="13" t="e">
        <f t="shared" si="17"/>
        <v>#DIV/0!</v>
      </c>
      <c r="DR63" s="13" t="e">
        <f t="shared" si="18"/>
        <v>#DIV/0!</v>
      </c>
      <c r="DS63" t="e">
        <f t="shared" si="19"/>
        <v>#DIV/0!</v>
      </c>
      <c r="DT63" t="e">
        <f t="shared" si="20"/>
        <v>#DIV/0!</v>
      </c>
      <c r="DU63" t="e">
        <f t="shared" si="21"/>
        <v>#DIV/0!</v>
      </c>
    </row>
    <row r="64" spans="1:126">
      <c r="CZ64" s="13" t="e">
        <f t="shared" si="0"/>
        <v>#DIV/0!</v>
      </c>
      <c r="DA64" s="13" t="e">
        <f t="shared" si="1"/>
        <v>#DIV/0!</v>
      </c>
      <c r="DB64" s="13" t="e">
        <f t="shared" si="2"/>
        <v>#DIV/0!</v>
      </c>
      <c r="DC64" s="13" t="e">
        <f t="shared" si="3"/>
        <v>#DIV/0!</v>
      </c>
      <c r="DD64" s="13" t="e">
        <f t="shared" si="4"/>
        <v>#DIV/0!</v>
      </c>
      <c r="DE64" s="13" t="e">
        <f t="shared" si="5"/>
        <v>#DIV/0!</v>
      </c>
      <c r="DF64" s="13" t="e">
        <f t="shared" si="6"/>
        <v>#DIV/0!</v>
      </c>
      <c r="DG64" s="13" t="e">
        <f t="shared" si="7"/>
        <v>#DIV/0!</v>
      </c>
      <c r="DH64" s="13" t="e">
        <f t="shared" si="8"/>
        <v>#DIV/0!</v>
      </c>
      <c r="DI64" s="13" t="e">
        <f t="shared" si="9"/>
        <v>#DIV/0!</v>
      </c>
      <c r="DJ64" s="13" t="e">
        <f t="shared" si="10"/>
        <v>#DIV/0!</v>
      </c>
      <c r="DK64" s="13" t="e">
        <f t="shared" si="11"/>
        <v>#DIV/0!</v>
      </c>
      <c r="DL64" s="13" t="e">
        <f t="shared" si="12"/>
        <v>#DIV/0!</v>
      </c>
      <c r="DM64" s="13" t="e">
        <f t="shared" si="13"/>
        <v>#DIV/0!</v>
      </c>
      <c r="DN64" s="13" t="e">
        <f t="shared" si="14"/>
        <v>#DIV/0!</v>
      </c>
      <c r="DO64" s="13" t="e">
        <f t="shared" si="15"/>
        <v>#DIV/0!</v>
      </c>
      <c r="DP64" s="13" t="e">
        <f t="shared" si="16"/>
        <v>#DIV/0!</v>
      </c>
      <c r="DQ64" s="13" t="e">
        <f t="shared" si="17"/>
        <v>#DIV/0!</v>
      </c>
      <c r="DR64" s="13" t="e">
        <f t="shared" si="18"/>
        <v>#DIV/0!</v>
      </c>
      <c r="DS64" t="e">
        <f t="shared" si="19"/>
        <v>#DIV/0!</v>
      </c>
      <c r="DT64" t="e">
        <f t="shared" si="20"/>
        <v>#DIV/0!</v>
      </c>
      <c r="DU64" t="e">
        <f t="shared" si="21"/>
        <v>#DIV/0!</v>
      </c>
    </row>
    <row r="65" spans="104:125">
      <c r="CZ65" s="13" t="e">
        <f t="shared" si="0"/>
        <v>#DIV/0!</v>
      </c>
      <c r="DA65" s="13" t="e">
        <f t="shared" si="1"/>
        <v>#DIV/0!</v>
      </c>
      <c r="DB65" s="13" t="e">
        <f t="shared" si="2"/>
        <v>#DIV/0!</v>
      </c>
      <c r="DC65" s="13" t="e">
        <f t="shared" si="3"/>
        <v>#DIV/0!</v>
      </c>
      <c r="DD65" s="13" t="e">
        <f t="shared" si="4"/>
        <v>#DIV/0!</v>
      </c>
      <c r="DE65" s="13" t="e">
        <f t="shared" si="5"/>
        <v>#DIV/0!</v>
      </c>
      <c r="DF65" s="13" t="e">
        <f t="shared" si="6"/>
        <v>#DIV/0!</v>
      </c>
      <c r="DG65" s="13" t="e">
        <f t="shared" si="7"/>
        <v>#DIV/0!</v>
      </c>
      <c r="DH65" s="13" t="e">
        <f t="shared" si="8"/>
        <v>#DIV/0!</v>
      </c>
      <c r="DI65" s="13" t="e">
        <f t="shared" si="9"/>
        <v>#DIV/0!</v>
      </c>
      <c r="DJ65" s="13" t="e">
        <f t="shared" si="10"/>
        <v>#DIV/0!</v>
      </c>
      <c r="DK65" s="13" t="e">
        <f t="shared" si="11"/>
        <v>#DIV/0!</v>
      </c>
      <c r="DL65" s="13" t="e">
        <f t="shared" si="12"/>
        <v>#DIV/0!</v>
      </c>
      <c r="DM65" s="13" t="e">
        <f t="shared" si="13"/>
        <v>#DIV/0!</v>
      </c>
      <c r="DN65" s="13" t="e">
        <f t="shared" si="14"/>
        <v>#DIV/0!</v>
      </c>
      <c r="DO65" s="13" t="e">
        <f t="shared" si="15"/>
        <v>#DIV/0!</v>
      </c>
      <c r="DP65" s="13" t="e">
        <f t="shared" si="16"/>
        <v>#DIV/0!</v>
      </c>
      <c r="DQ65" s="13" t="e">
        <f t="shared" si="17"/>
        <v>#DIV/0!</v>
      </c>
      <c r="DR65" s="13" t="e">
        <f t="shared" si="18"/>
        <v>#DIV/0!</v>
      </c>
      <c r="DS65" t="e">
        <f t="shared" si="19"/>
        <v>#DIV/0!</v>
      </c>
      <c r="DT65" t="e">
        <f t="shared" si="20"/>
        <v>#DIV/0!</v>
      </c>
      <c r="DU65" t="e">
        <f t="shared" si="21"/>
        <v>#DIV/0!</v>
      </c>
    </row>
    <row r="66" spans="104:125">
      <c r="CZ66" s="13" t="e">
        <f t="shared" si="0"/>
        <v>#DIV/0!</v>
      </c>
      <c r="DA66" s="13" t="e">
        <f t="shared" si="1"/>
        <v>#DIV/0!</v>
      </c>
      <c r="DB66" s="13" t="e">
        <f t="shared" si="2"/>
        <v>#DIV/0!</v>
      </c>
      <c r="DC66" s="13" t="e">
        <f t="shared" si="3"/>
        <v>#DIV/0!</v>
      </c>
      <c r="DD66" s="13" t="e">
        <f t="shared" si="4"/>
        <v>#DIV/0!</v>
      </c>
      <c r="DE66" s="13" t="e">
        <f t="shared" si="5"/>
        <v>#DIV/0!</v>
      </c>
      <c r="DF66" s="13" t="e">
        <f t="shared" si="6"/>
        <v>#DIV/0!</v>
      </c>
      <c r="DG66" s="13" t="e">
        <f t="shared" si="7"/>
        <v>#DIV/0!</v>
      </c>
      <c r="DH66" s="13" t="e">
        <f t="shared" si="8"/>
        <v>#DIV/0!</v>
      </c>
      <c r="DI66" s="13" t="e">
        <f t="shared" si="9"/>
        <v>#DIV/0!</v>
      </c>
      <c r="DJ66" s="13" t="e">
        <f t="shared" si="10"/>
        <v>#DIV/0!</v>
      </c>
      <c r="DK66" s="13" t="e">
        <f t="shared" si="11"/>
        <v>#DIV/0!</v>
      </c>
      <c r="DL66" s="13" t="e">
        <f t="shared" si="12"/>
        <v>#DIV/0!</v>
      </c>
      <c r="DM66" s="13" t="e">
        <f t="shared" si="13"/>
        <v>#DIV/0!</v>
      </c>
      <c r="DN66" s="13" t="e">
        <f t="shared" si="14"/>
        <v>#DIV/0!</v>
      </c>
      <c r="DO66" s="13" t="e">
        <f t="shared" si="15"/>
        <v>#DIV/0!</v>
      </c>
      <c r="DP66" s="13" t="e">
        <f t="shared" si="16"/>
        <v>#DIV/0!</v>
      </c>
      <c r="DQ66" s="13" t="e">
        <f t="shared" si="17"/>
        <v>#DIV/0!</v>
      </c>
      <c r="DR66" s="13" t="e">
        <f t="shared" si="18"/>
        <v>#DIV/0!</v>
      </c>
      <c r="DS66" t="e">
        <f t="shared" si="19"/>
        <v>#DIV/0!</v>
      </c>
      <c r="DT66" t="e">
        <f t="shared" si="20"/>
        <v>#DIV/0!</v>
      </c>
      <c r="DU66" t="e">
        <f t="shared" si="21"/>
        <v>#DIV/0!</v>
      </c>
    </row>
    <row r="67" spans="104:125">
      <c r="CZ67" s="13" t="e">
        <f t="shared" ref="CZ67:CZ82" si="23">AVERAGE(I67:N67)</f>
        <v>#DIV/0!</v>
      </c>
      <c r="DA67" s="13" t="e">
        <f t="shared" ref="DA67:DA82" si="24">AVERAGE(O67:T67)</f>
        <v>#DIV/0!</v>
      </c>
      <c r="DB67" s="13" t="e">
        <f t="shared" ref="DB67:DB82" si="25">AVERAGE(AA67:AF67)</f>
        <v>#DIV/0!</v>
      </c>
      <c r="DC67" s="13" t="e">
        <f t="shared" ref="DC67:DC82" si="26">AVERAGE(U67:Z67)</f>
        <v>#DIV/0!</v>
      </c>
      <c r="DD67" s="13" t="e">
        <f t="shared" ref="DD67:DD82" si="27">AVERAGE(AG67:AL67)</f>
        <v>#DIV/0!</v>
      </c>
      <c r="DE67" s="13" t="e">
        <f t="shared" ref="DE67:DE82" si="28">AVERAGE(AR67:AS67)</f>
        <v>#DIV/0!</v>
      </c>
      <c r="DF67" s="13" t="e">
        <f t="shared" ref="DF67:DF82" si="29">AVERAGE(AT67:AW67)</f>
        <v>#DIV/0!</v>
      </c>
      <c r="DG67" s="13" t="e">
        <f t="shared" ref="DG67:DG82" si="30">AVERAGE(CF67:CG67)</f>
        <v>#DIV/0!</v>
      </c>
      <c r="DH67" s="13" t="e">
        <f t="shared" ref="DH67:DH82" si="31">AVERAGE(BD67:BE67)</f>
        <v>#DIV/0!</v>
      </c>
      <c r="DI67" s="13" t="e">
        <f t="shared" ref="DI67:DI82" si="32">AVERAGE(BB67:BC67)</f>
        <v>#DIV/0!</v>
      </c>
      <c r="DJ67" s="13" t="e">
        <f t="shared" ref="DJ67:DJ82" si="33">AVERAGE(AZ67:BA67)</f>
        <v>#DIV/0!</v>
      </c>
      <c r="DK67" s="13" t="e">
        <f t="shared" ref="DK67:DK82" si="34">AVERAGE(BF67:BG67)</f>
        <v>#DIV/0!</v>
      </c>
      <c r="DL67" s="13" t="e">
        <f t="shared" ref="DL67:DL82" si="35">AVERAGE(BJ67:BK67)</f>
        <v>#DIV/0!</v>
      </c>
      <c r="DM67" s="13" t="e">
        <f t="shared" ref="DM67:DM82" si="36">AVERAGE(BH67:BI67)</f>
        <v>#DIV/0!</v>
      </c>
      <c r="DN67" s="13" t="e">
        <f t="shared" ref="DN67:DN82" si="37">AVERAGE(BL67:BM67)</f>
        <v>#DIV/0!</v>
      </c>
      <c r="DO67" s="13" t="e">
        <f t="shared" ref="DO67:DO82" si="38">AVERAGE(BR67:BU67)</f>
        <v>#DIV/0!</v>
      </c>
      <c r="DP67" s="13" t="e">
        <f t="shared" ref="DP67:DP82" si="39">AVERAGE(BN67:BQ67)</f>
        <v>#DIV/0!</v>
      </c>
      <c r="DQ67" s="13" t="e">
        <f t="shared" ref="DQ67:DQ82" si="40">AVERAGE(CB67:CE67)</f>
        <v>#DIV/0!</v>
      </c>
      <c r="DR67" s="13" t="e">
        <f t="shared" ref="DR67:DR82" si="41">AVERAGE(BZ67:CA67)</f>
        <v>#DIV/0!</v>
      </c>
      <c r="DS67" t="e">
        <f t="shared" ref="DS67:DS82" si="42">AVERAGE(BV67:BY67)</f>
        <v>#DIV/0!</v>
      </c>
      <c r="DT67" t="e">
        <f t="shared" ref="DT67:DT82" si="43">AVERAGE(AA67:AF67)</f>
        <v>#DIV/0!</v>
      </c>
      <c r="DU67" t="e">
        <f t="shared" ref="DU67:DU82" si="44">AVERAGE(AM67:AN67)</f>
        <v>#DIV/0!</v>
      </c>
    </row>
    <row r="68" spans="104:125">
      <c r="CZ68" s="13" t="e">
        <f t="shared" si="23"/>
        <v>#DIV/0!</v>
      </c>
      <c r="DA68" s="13" t="e">
        <f t="shared" si="24"/>
        <v>#DIV/0!</v>
      </c>
      <c r="DB68" s="13" t="e">
        <f t="shared" si="25"/>
        <v>#DIV/0!</v>
      </c>
      <c r="DC68" s="13" t="e">
        <f t="shared" si="26"/>
        <v>#DIV/0!</v>
      </c>
      <c r="DD68" s="13" t="e">
        <f t="shared" si="27"/>
        <v>#DIV/0!</v>
      </c>
      <c r="DE68" s="13" t="e">
        <f t="shared" si="28"/>
        <v>#DIV/0!</v>
      </c>
      <c r="DF68" s="13" t="e">
        <f t="shared" si="29"/>
        <v>#DIV/0!</v>
      </c>
      <c r="DG68" s="13" t="e">
        <f t="shared" si="30"/>
        <v>#DIV/0!</v>
      </c>
      <c r="DH68" s="13" t="e">
        <f t="shared" si="31"/>
        <v>#DIV/0!</v>
      </c>
      <c r="DI68" s="13" t="e">
        <f t="shared" si="32"/>
        <v>#DIV/0!</v>
      </c>
      <c r="DJ68" s="13" t="e">
        <f t="shared" si="33"/>
        <v>#DIV/0!</v>
      </c>
      <c r="DK68" s="13" t="e">
        <f t="shared" si="34"/>
        <v>#DIV/0!</v>
      </c>
      <c r="DL68" s="13" t="e">
        <f t="shared" si="35"/>
        <v>#DIV/0!</v>
      </c>
      <c r="DM68" s="13" t="e">
        <f t="shared" si="36"/>
        <v>#DIV/0!</v>
      </c>
      <c r="DN68" s="13" t="e">
        <f t="shared" si="37"/>
        <v>#DIV/0!</v>
      </c>
      <c r="DO68" s="13" t="e">
        <f t="shared" si="38"/>
        <v>#DIV/0!</v>
      </c>
      <c r="DP68" s="13" t="e">
        <f t="shared" si="39"/>
        <v>#DIV/0!</v>
      </c>
      <c r="DQ68" s="13" t="e">
        <f t="shared" si="40"/>
        <v>#DIV/0!</v>
      </c>
      <c r="DR68" s="13" t="e">
        <f t="shared" si="41"/>
        <v>#DIV/0!</v>
      </c>
      <c r="DS68" t="e">
        <f t="shared" si="42"/>
        <v>#DIV/0!</v>
      </c>
      <c r="DT68" t="e">
        <f t="shared" si="43"/>
        <v>#DIV/0!</v>
      </c>
      <c r="DU68" t="e">
        <f t="shared" si="44"/>
        <v>#DIV/0!</v>
      </c>
    </row>
    <row r="69" spans="104:125">
      <c r="CZ69" s="13" t="e">
        <f t="shared" si="23"/>
        <v>#DIV/0!</v>
      </c>
      <c r="DA69" s="13" t="e">
        <f t="shared" si="24"/>
        <v>#DIV/0!</v>
      </c>
      <c r="DB69" s="13" t="e">
        <f t="shared" si="25"/>
        <v>#DIV/0!</v>
      </c>
      <c r="DC69" s="13" t="e">
        <f t="shared" si="26"/>
        <v>#DIV/0!</v>
      </c>
      <c r="DD69" s="13" t="e">
        <f t="shared" si="27"/>
        <v>#DIV/0!</v>
      </c>
      <c r="DE69" s="13" t="e">
        <f t="shared" si="28"/>
        <v>#DIV/0!</v>
      </c>
      <c r="DF69" s="13" t="e">
        <f t="shared" si="29"/>
        <v>#DIV/0!</v>
      </c>
      <c r="DG69" s="13" t="e">
        <f t="shared" si="30"/>
        <v>#DIV/0!</v>
      </c>
      <c r="DH69" s="13" t="e">
        <f t="shared" si="31"/>
        <v>#DIV/0!</v>
      </c>
      <c r="DI69" s="13" t="e">
        <f t="shared" si="32"/>
        <v>#DIV/0!</v>
      </c>
      <c r="DJ69" s="13" t="e">
        <f t="shared" si="33"/>
        <v>#DIV/0!</v>
      </c>
      <c r="DK69" s="13" t="e">
        <f t="shared" si="34"/>
        <v>#DIV/0!</v>
      </c>
      <c r="DL69" s="13" t="e">
        <f t="shared" si="35"/>
        <v>#DIV/0!</v>
      </c>
      <c r="DM69" s="13" t="e">
        <f t="shared" si="36"/>
        <v>#DIV/0!</v>
      </c>
      <c r="DN69" s="13" t="e">
        <f t="shared" si="37"/>
        <v>#DIV/0!</v>
      </c>
      <c r="DO69" s="13" t="e">
        <f t="shared" si="38"/>
        <v>#DIV/0!</v>
      </c>
      <c r="DP69" s="13" t="e">
        <f t="shared" si="39"/>
        <v>#DIV/0!</v>
      </c>
      <c r="DQ69" s="13" t="e">
        <f t="shared" si="40"/>
        <v>#DIV/0!</v>
      </c>
      <c r="DR69" s="13" t="e">
        <f t="shared" si="41"/>
        <v>#DIV/0!</v>
      </c>
      <c r="DS69" t="e">
        <f t="shared" si="42"/>
        <v>#DIV/0!</v>
      </c>
      <c r="DT69" t="e">
        <f t="shared" si="43"/>
        <v>#DIV/0!</v>
      </c>
      <c r="DU69" t="e">
        <f t="shared" si="44"/>
        <v>#DIV/0!</v>
      </c>
    </row>
    <row r="70" spans="104:125">
      <c r="CZ70" s="13" t="e">
        <f t="shared" si="23"/>
        <v>#DIV/0!</v>
      </c>
      <c r="DA70" s="13" t="e">
        <f t="shared" si="24"/>
        <v>#DIV/0!</v>
      </c>
      <c r="DB70" s="13" t="e">
        <f t="shared" si="25"/>
        <v>#DIV/0!</v>
      </c>
      <c r="DC70" s="13" t="e">
        <f t="shared" si="26"/>
        <v>#DIV/0!</v>
      </c>
      <c r="DD70" s="13" t="e">
        <f t="shared" si="27"/>
        <v>#DIV/0!</v>
      </c>
      <c r="DE70" s="13" t="e">
        <f t="shared" si="28"/>
        <v>#DIV/0!</v>
      </c>
      <c r="DF70" s="13" t="e">
        <f t="shared" si="29"/>
        <v>#DIV/0!</v>
      </c>
      <c r="DG70" s="13" t="e">
        <f t="shared" si="30"/>
        <v>#DIV/0!</v>
      </c>
      <c r="DH70" s="13" t="e">
        <f t="shared" si="31"/>
        <v>#DIV/0!</v>
      </c>
      <c r="DI70" s="13" t="e">
        <f t="shared" si="32"/>
        <v>#DIV/0!</v>
      </c>
      <c r="DJ70" s="13" t="e">
        <f t="shared" si="33"/>
        <v>#DIV/0!</v>
      </c>
      <c r="DK70" s="13" t="e">
        <f t="shared" si="34"/>
        <v>#DIV/0!</v>
      </c>
      <c r="DL70" s="13" t="e">
        <f t="shared" si="35"/>
        <v>#DIV/0!</v>
      </c>
      <c r="DM70" s="13" t="e">
        <f t="shared" si="36"/>
        <v>#DIV/0!</v>
      </c>
      <c r="DN70" s="13" t="e">
        <f t="shared" si="37"/>
        <v>#DIV/0!</v>
      </c>
      <c r="DO70" s="13" t="e">
        <f t="shared" si="38"/>
        <v>#DIV/0!</v>
      </c>
      <c r="DP70" s="13" t="e">
        <f t="shared" si="39"/>
        <v>#DIV/0!</v>
      </c>
      <c r="DQ70" s="13" t="e">
        <f t="shared" si="40"/>
        <v>#DIV/0!</v>
      </c>
      <c r="DR70" s="13" t="e">
        <f t="shared" si="41"/>
        <v>#DIV/0!</v>
      </c>
      <c r="DS70" t="e">
        <f t="shared" si="42"/>
        <v>#DIV/0!</v>
      </c>
      <c r="DT70" t="e">
        <f t="shared" si="43"/>
        <v>#DIV/0!</v>
      </c>
      <c r="DU70" t="e">
        <f t="shared" si="44"/>
        <v>#DIV/0!</v>
      </c>
    </row>
    <row r="71" spans="104:125">
      <c r="CZ71" s="13" t="e">
        <f t="shared" si="23"/>
        <v>#DIV/0!</v>
      </c>
      <c r="DA71" s="13" t="e">
        <f t="shared" si="24"/>
        <v>#DIV/0!</v>
      </c>
      <c r="DB71" s="13" t="e">
        <f t="shared" si="25"/>
        <v>#DIV/0!</v>
      </c>
      <c r="DC71" s="13" t="e">
        <f t="shared" si="26"/>
        <v>#DIV/0!</v>
      </c>
      <c r="DD71" s="13" t="e">
        <f t="shared" si="27"/>
        <v>#DIV/0!</v>
      </c>
      <c r="DE71" s="13" t="e">
        <f t="shared" si="28"/>
        <v>#DIV/0!</v>
      </c>
      <c r="DF71" s="13" t="e">
        <f t="shared" si="29"/>
        <v>#DIV/0!</v>
      </c>
      <c r="DG71" s="13" t="e">
        <f t="shared" si="30"/>
        <v>#DIV/0!</v>
      </c>
      <c r="DH71" s="13" t="e">
        <f t="shared" si="31"/>
        <v>#DIV/0!</v>
      </c>
      <c r="DI71" s="13" t="e">
        <f t="shared" si="32"/>
        <v>#DIV/0!</v>
      </c>
      <c r="DJ71" s="13" t="e">
        <f t="shared" si="33"/>
        <v>#DIV/0!</v>
      </c>
      <c r="DK71" s="13" t="e">
        <f t="shared" si="34"/>
        <v>#DIV/0!</v>
      </c>
      <c r="DL71" s="13" t="e">
        <f t="shared" si="35"/>
        <v>#DIV/0!</v>
      </c>
      <c r="DM71" s="13" t="e">
        <f t="shared" si="36"/>
        <v>#DIV/0!</v>
      </c>
      <c r="DN71" s="13" t="e">
        <f t="shared" si="37"/>
        <v>#DIV/0!</v>
      </c>
      <c r="DO71" s="13" t="e">
        <f t="shared" si="38"/>
        <v>#DIV/0!</v>
      </c>
      <c r="DP71" s="13" t="e">
        <f t="shared" si="39"/>
        <v>#DIV/0!</v>
      </c>
      <c r="DQ71" s="13" t="e">
        <f t="shared" si="40"/>
        <v>#DIV/0!</v>
      </c>
      <c r="DR71" s="13" t="e">
        <f t="shared" si="41"/>
        <v>#DIV/0!</v>
      </c>
      <c r="DS71" t="e">
        <f t="shared" si="42"/>
        <v>#DIV/0!</v>
      </c>
      <c r="DT71" t="e">
        <f t="shared" si="43"/>
        <v>#DIV/0!</v>
      </c>
      <c r="DU71" t="e">
        <f t="shared" si="44"/>
        <v>#DIV/0!</v>
      </c>
    </row>
    <row r="72" spans="104:125">
      <c r="CZ72" s="13" t="e">
        <f t="shared" si="23"/>
        <v>#DIV/0!</v>
      </c>
      <c r="DA72" s="13" t="e">
        <f t="shared" si="24"/>
        <v>#DIV/0!</v>
      </c>
      <c r="DB72" s="13" t="e">
        <f t="shared" si="25"/>
        <v>#DIV/0!</v>
      </c>
      <c r="DC72" s="13" t="e">
        <f t="shared" si="26"/>
        <v>#DIV/0!</v>
      </c>
      <c r="DD72" s="13" t="e">
        <f t="shared" si="27"/>
        <v>#DIV/0!</v>
      </c>
      <c r="DE72" s="13" t="e">
        <f t="shared" si="28"/>
        <v>#DIV/0!</v>
      </c>
      <c r="DF72" s="13" t="e">
        <f t="shared" si="29"/>
        <v>#DIV/0!</v>
      </c>
      <c r="DG72" s="13" t="e">
        <f t="shared" si="30"/>
        <v>#DIV/0!</v>
      </c>
      <c r="DH72" s="13" t="e">
        <f t="shared" si="31"/>
        <v>#DIV/0!</v>
      </c>
      <c r="DI72" s="13" t="e">
        <f t="shared" si="32"/>
        <v>#DIV/0!</v>
      </c>
      <c r="DJ72" s="13" t="e">
        <f t="shared" si="33"/>
        <v>#DIV/0!</v>
      </c>
      <c r="DK72" s="13" t="e">
        <f t="shared" si="34"/>
        <v>#DIV/0!</v>
      </c>
      <c r="DL72" s="13" t="e">
        <f t="shared" si="35"/>
        <v>#DIV/0!</v>
      </c>
      <c r="DM72" s="13" t="e">
        <f t="shared" si="36"/>
        <v>#DIV/0!</v>
      </c>
      <c r="DN72" s="13" t="e">
        <f t="shared" si="37"/>
        <v>#DIV/0!</v>
      </c>
      <c r="DO72" s="13" t="e">
        <f t="shared" si="38"/>
        <v>#DIV/0!</v>
      </c>
      <c r="DP72" s="13" t="e">
        <f t="shared" si="39"/>
        <v>#DIV/0!</v>
      </c>
      <c r="DQ72" s="13" t="e">
        <f t="shared" si="40"/>
        <v>#DIV/0!</v>
      </c>
      <c r="DR72" s="13" t="e">
        <f t="shared" si="41"/>
        <v>#DIV/0!</v>
      </c>
      <c r="DS72" t="e">
        <f t="shared" si="42"/>
        <v>#DIV/0!</v>
      </c>
      <c r="DT72" t="e">
        <f t="shared" si="43"/>
        <v>#DIV/0!</v>
      </c>
      <c r="DU72" t="e">
        <f t="shared" si="44"/>
        <v>#DIV/0!</v>
      </c>
    </row>
    <row r="73" spans="104:125">
      <c r="CZ73" s="13" t="e">
        <f t="shared" si="23"/>
        <v>#DIV/0!</v>
      </c>
      <c r="DA73" s="13" t="e">
        <f t="shared" si="24"/>
        <v>#DIV/0!</v>
      </c>
      <c r="DB73" s="13" t="e">
        <f t="shared" si="25"/>
        <v>#DIV/0!</v>
      </c>
      <c r="DC73" s="13" t="e">
        <f t="shared" si="26"/>
        <v>#DIV/0!</v>
      </c>
      <c r="DD73" s="13" t="e">
        <f t="shared" si="27"/>
        <v>#DIV/0!</v>
      </c>
      <c r="DE73" s="13" t="e">
        <f t="shared" si="28"/>
        <v>#DIV/0!</v>
      </c>
      <c r="DF73" s="13" t="e">
        <f t="shared" si="29"/>
        <v>#DIV/0!</v>
      </c>
      <c r="DG73" s="13" t="e">
        <f t="shared" si="30"/>
        <v>#DIV/0!</v>
      </c>
      <c r="DH73" s="13" t="e">
        <f t="shared" si="31"/>
        <v>#DIV/0!</v>
      </c>
      <c r="DI73" s="13" t="e">
        <f t="shared" si="32"/>
        <v>#DIV/0!</v>
      </c>
      <c r="DJ73" s="13" t="e">
        <f t="shared" si="33"/>
        <v>#DIV/0!</v>
      </c>
      <c r="DK73" s="13" t="e">
        <f t="shared" si="34"/>
        <v>#DIV/0!</v>
      </c>
      <c r="DL73" s="13" t="e">
        <f t="shared" si="35"/>
        <v>#DIV/0!</v>
      </c>
      <c r="DM73" s="13" t="e">
        <f t="shared" si="36"/>
        <v>#DIV/0!</v>
      </c>
      <c r="DN73" s="13" t="e">
        <f t="shared" si="37"/>
        <v>#DIV/0!</v>
      </c>
      <c r="DO73" s="13" t="e">
        <f t="shared" si="38"/>
        <v>#DIV/0!</v>
      </c>
      <c r="DP73" s="13" t="e">
        <f t="shared" si="39"/>
        <v>#DIV/0!</v>
      </c>
      <c r="DQ73" s="13" t="e">
        <f t="shared" si="40"/>
        <v>#DIV/0!</v>
      </c>
      <c r="DR73" s="13" t="e">
        <f t="shared" si="41"/>
        <v>#DIV/0!</v>
      </c>
      <c r="DS73" t="e">
        <f t="shared" si="42"/>
        <v>#DIV/0!</v>
      </c>
      <c r="DT73" t="e">
        <f t="shared" si="43"/>
        <v>#DIV/0!</v>
      </c>
      <c r="DU73" t="e">
        <f t="shared" si="44"/>
        <v>#DIV/0!</v>
      </c>
    </row>
    <row r="74" spans="104:125">
      <c r="CZ74" s="13" t="e">
        <f t="shared" si="23"/>
        <v>#DIV/0!</v>
      </c>
      <c r="DA74" s="13" t="e">
        <f t="shared" si="24"/>
        <v>#DIV/0!</v>
      </c>
      <c r="DB74" s="13" t="e">
        <f t="shared" si="25"/>
        <v>#DIV/0!</v>
      </c>
      <c r="DC74" s="13" t="e">
        <f t="shared" si="26"/>
        <v>#DIV/0!</v>
      </c>
      <c r="DD74" s="13" t="e">
        <f t="shared" si="27"/>
        <v>#DIV/0!</v>
      </c>
      <c r="DE74" s="13" t="e">
        <f t="shared" si="28"/>
        <v>#DIV/0!</v>
      </c>
      <c r="DF74" s="13" t="e">
        <f t="shared" si="29"/>
        <v>#DIV/0!</v>
      </c>
      <c r="DG74" s="13" t="e">
        <f t="shared" si="30"/>
        <v>#DIV/0!</v>
      </c>
      <c r="DH74" s="13" t="e">
        <f t="shared" si="31"/>
        <v>#DIV/0!</v>
      </c>
      <c r="DI74" s="13" t="e">
        <f t="shared" si="32"/>
        <v>#DIV/0!</v>
      </c>
      <c r="DJ74" s="13" t="e">
        <f t="shared" si="33"/>
        <v>#DIV/0!</v>
      </c>
      <c r="DK74" s="13" t="e">
        <f t="shared" si="34"/>
        <v>#DIV/0!</v>
      </c>
      <c r="DL74" s="13" t="e">
        <f t="shared" si="35"/>
        <v>#DIV/0!</v>
      </c>
      <c r="DM74" s="13" t="e">
        <f t="shared" si="36"/>
        <v>#DIV/0!</v>
      </c>
      <c r="DN74" s="13" t="e">
        <f t="shared" si="37"/>
        <v>#DIV/0!</v>
      </c>
      <c r="DO74" s="13" t="e">
        <f t="shared" si="38"/>
        <v>#DIV/0!</v>
      </c>
      <c r="DP74" s="13" t="e">
        <f t="shared" si="39"/>
        <v>#DIV/0!</v>
      </c>
      <c r="DQ74" s="13" t="e">
        <f t="shared" si="40"/>
        <v>#DIV/0!</v>
      </c>
      <c r="DR74" s="13" t="e">
        <f t="shared" si="41"/>
        <v>#DIV/0!</v>
      </c>
      <c r="DS74" t="e">
        <f t="shared" si="42"/>
        <v>#DIV/0!</v>
      </c>
      <c r="DT74" t="e">
        <f t="shared" si="43"/>
        <v>#DIV/0!</v>
      </c>
      <c r="DU74" t="e">
        <f t="shared" si="44"/>
        <v>#DIV/0!</v>
      </c>
    </row>
    <row r="75" spans="104:125">
      <c r="CZ75" s="13" t="e">
        <f t="shared" si="23"/>
        <v>#DIV/0!</v>
      </c>
      <c r="DA75" s="13" t="e">
        <f t="shared" si="24"/>
        <v>#DIV/0!</v>
      </c>
      <c r="DB75" s="13" t="e">
        <f t="shared" si="25"/>
        <v>#DIV/0!</v>
      </c>
      <c r="DC75" s="13" t="e">
        <f t="shared" si="26"/>
        <v>#DIV/0!</v>
      </c>
      <c r="DD75" s="13" t="e">
        <f t="shared" si="27"/>
        <v>#DIV/0!</v>
      </c>
      <c r="DE75" s="13" t="e">
        <f t="shared" si="28"/>
        <v>#DIV/0!</v>
      </c>
      <c r="DF75" s="13" t="e">
        <f t="shared" si="29"/>
        <v>#DIV/0!</v>
      </c>
      <c r="DG75" s="13" t="e">
        <f t="shared" si="30"/>
        <v>#DIV/0!</v>
      </c>
      <c r="DH75" s="13" t="e">
        <f t="shared" si="31"/>
        <v>#DIV/0!</v>
      </c>
      <c r="DI75" s="13" t="e">
        <f t="shared" si="32"/>
        <v>#DIV/0!</v>
      </c>
      <c r="DJ75" s="13" t="e">
        <f t="shared" si="33"/>
        <v>#DIV/0!</v>
      </c>
      <c r="DK75" s="13" t="e">
        <f t="shared" si="34"/>
        <v>#DIV/0!</v>
      </c>
      <c r="DL75" s="13" t="e">
        <f t="shared" si="35"/>
        <v>#DIV/0!</v>
      </c>
      <c r="DM75" s="13" t="e">
        <f t="shared" si="36"/>
        <v>#DIV/0!</v>
      </c>
      <c r="DN75" s="13" t="e">
        <f t="shared" si="37"/>
        <v>#DIV/0!</v>
      </c>
      <c r="DO75" s="13" t="e">
        <f t="shared" si="38"/>
        <v>#DIV/0!</v>
      </c>
      <c r="DP75" s="13" t="e">
        <f t="shared" si="39"/>
        <v>#DIV/0!</v>
      </c>
      <c r="DQ75" s="13" t="e">
        <f t="shared" si="40"/>
        <v>#DIV/0!</v>
      </c>
      <c r="DR75" s="13" t="e">
        <f t="shared" si="41"/>
        <v>#DIV/0!</v>
      </c>
      <c r="DS75" t="e">
        <f t="shared" si="42"/>
        <v>#DIV/0!</v>
      </c>
      <c r="DT75" t="e">
        <f t="shared" si="43"/>
        <v>#DIV/0!</v>
      </c>
      <c r="DU75" t="e">
        <f t="shared" si="44"/>
        <v>#DIV/0!</v>
      </c>
    </row>
    <row r="76" spans="104:125">
      <c r="CZ76" s="13" t="e">
        <f t="shared" si="23"/>
        <v>#DIV/0!</v>
      </c>
      <c r="DA76" s="13" t="e">
        <f t="shared" si="24"/>
        <v>#DIV/0!</v>
      </c>
      <c r="DB76" s="13" t="e">
        <f t="shared" si="25"/>
        <v>#DIV/0!</v>
      </c>
      <c r="DC76" s="13" t="e">
        <f t="shared" si="26"/>
        <v>#DIV/0!</v>
      </c>
      <c r="DD76" s="13" t="e">
        <f t="shared" si="27"/>
        <v>#DIV/0!</v>
      </c>
      <c r="DE76" s="13" t="e">
        <f t="shared" si="28"/>
        <v>#DIV/0!</v>
      </c>
      <c r="DF76" s="13" t="e">
        <f t="shared" si="29"/>
        <v>#DIV/0!</v>
      </c>
      <c r="DG76" s="13" t="e">
        <f t="shared" si="30"/>
        <v>#DIV/0!</v>
      </c>
      <c r="DH76" s="13" t="e">
        <f t="shared" si="31"/>
        <v>#DIV/0!</v>
      </c>
      <c r="DI76" s="13" t="e">
        <f t="shared" si="32"/>
        <v>#DIV/0!</v>
      </c>
      <c r="DJ76" s="13" t="e">
        <f t="shared" si="33"/>
        <v>#DIV/0!</v>
      </c>
      <c r="DK76" s="13" t="e">
        <f t="shared" si="34"/>
        <v>#DIV/0!</v>
      </c>
      <c r="DL76" s="13" t="e">
        <f t="shared" si="35"/>
        <v>#DIV/0!</v>
      </c>
      <c r="DM76" s="13" t="e">
        <f t="shared" si="36"/>
        <v>#DIV/0!</v>
      </c>
      <c r="DN76" s="13" t="e">
        <f t="shared" si="37"/>
        <v>#DIV/0!</v>
      </c>
      <c r="DO76" s="13" t="e">
        <f t="shared" si="38"/>
        <v>#DIV/0!</v>
      </c>
      <c r="DP76" s="13" t="e">
        <f t="shared" si="39"/>
        <v>#DIV/0!</v>
      </c>
      <c r="DQ76" s="13" t="e">
        <f t="shared" si="40"/>
        <v>#DIV/0!</v>
      </c>
      <c r="DR76" s="13" t="e">
        <f t="shared" si="41"/>
        <v>#DIV/0!</v>
      </c>
      <c r="DS76" t="e">
        <f t="shared" si="42"/>
        <v>#DIV/0!</v>
      </c>
      <c r="DT76" t="e">
        <f t="shared" si="43"/>
        <v>#DIV/0!</v>
      </c>
      <c r="DU76" t="e">
        <f t="shared" si="44"/>
        <v>#DIV/0!</v>
      </c>
    </row>
    <row r="77" spans="104:125">
      <c r="CZ77" s="13" t="e">
        <f t="shared" si="23"/>
        <v>#DIV/0!</v>
      </c>
      <c r="DA77" s="13" t="e">
        <f t="shared" si="24"/>
        <v>#DIV/0!</v>
      </c>
      <c r="DB77" s="13" t="e">
        <f t="shared" si="25"/>
        <v>#DIV/0!</v>
      </c>
      <c r="DC77" s="13" t="e">
        <f t="shared" si="26"/>
        <v>#DIV/0!</v>
      </c>
      <c r="DD77" s="13" t="e">
        <f t="shared" si="27"/>
        <v>#DIV/0!</v>
      </c>
      <c r="DE77" s="13" t="e">
        <f t="shared" si="28"/>
        <v>#DIV/0!</v>
      </c>
      <c r="DF77" s="13" t="e">
        <f t="shared" si="29"/>
        <v>#DIV/0!</v>
      </c>
      <c r="DG77" s="13" t="e">
        <f t="shared" si="30"/>
        <v>#DIV/0!</v>
      </c>
      <c r="DH77" s="13" t="e">
        <f t="shared" si="31"/>
        <v>#DIV/0!</v>
      </c>
      <c r="DI77" s="13" t="e">
        <f t="shared" si="32"/>
        <v>#DIV/0!</v>
      </c>
      <c r="DJ77" s="13" t="e">
        <f t="shared" si="33"/>
        <v>#DIV/0!</v>
      </c>
      <c r="DK77" s="13" t="e">
        <f t="shared" si="34"/>
        <v>#DIV/0!</v>
      </c>
      <c r="DL77" s="13" t="e">
        <f t="shared" si="35"/>
        <v>#DIV/0!</v>
      </c>
      <c r="DM77" s="13" t="e">
        <f t="shared" si="36"/>
        <v>#DIV/0!</v>
      </c>
      <c r="DN77" s="13" t="e">
        <f t="shared" si="37"/>
        <v>#DIV/0!</v>
      </c>
      <c r="DO77" s="13" t="e">
        <f t="shared" si="38"/>
        <v>#DIV/0!</v>
      </c>
      <c r="DP77" s="13" t="e">
        <f t="shared" si="39"/>
        <v>#DIV/0!</v>
      </c>
      <c r="DQ77" s="13" t="e">
        <f t="shared" si="40"/>
        <v>#DIV/0!</v>
      </c>
      <c r="DR77" s="13" t="e">
        <f t="shared" si="41"/>
        <v>#DIV/0!</v>
      </c>
      <c r="DS77" t="e">
        <f t="shared" si="42"/>
        <v>#DIV/0!</v>
      </c>
      <c r="DT77" t="e">
        <f t="shared" si="43"/>
        <v>#DIV/0!</v>
      </c>
      <c r="DU77" t="e">
        <f t="shared" si="44"/>
        <v>#DIV/0!</v>
      </c>
    </row>
    <row r="78" spans="104:125">
      <c r="CZ78" s="13" t="e">
        <f t="shared" si="23"/>
        <v>#DIV/0!</v>
      </c>
      <c r="DA78" s="13" t="e">
        <f t="shared" si="24"/>
        <v>#DIV/0!</v>
      </c>
      <c r="DB78" s="13" t="e">
        <f t="shared" si="25"/>
        <v>#DIV/0!</v>
      </c>
      <c r="DC78" s="13" t="e">
        <f t="shared" si="26"/>
        <v>#DIV/0!</v>
      </c>
      <c r="DD78" s="13" t="e">
        <f t="shared" si="27"/>
        <v>#DIV/0!</v>
      </c>
      <c r="DE78" s="13" t="e">
        <f t="shared" si="28"/>
        <v>#DIV/0!</v>
      </c>
      <c r="DF78" s="13" t="e">
        <f t="shared" si="29"/>
        <v>#DIV/0!</v>
      </c>
      <c r="DG78" s="13" t="e">
        <f t="shared" si="30"/>
        <v>#DIV/0!</v>
      </c>
      <c r="DH78" s="13" t="e">
        <f t="shared" si="31"/>
        <v>#DIV/0!</v>
      </c>
      <c r="DI78" s="13" t="e">
        <f t="shared" si="32"/>
        <v>#DIV/0!</v>
      </c>
      <c r="DJ78" s="13" t="e">
        <f t="shared" si="33"/>
        <v>#DIV/0!</v>
      </c>
      <c r="DK78" s="13" t="e">
        <f t="shared" si="34"/>
        <v>#DIV/0!</v>
      </c>
      <c r="DL78" s="13" t="e">
        <f t="shared" si="35"/>
        <v>#DIV/0!</v>
      </c>
      <c r="DM78" s="13" t="e">
        <f t="shared" si="36"/>
        <v>#DIV/0!</v>
      </c>
      <c r="DN78" s="13" t="e">
        <f t="shared" si="37"/>
        <v>#DIV/0!</v>
      </c>
      <c r="DO78" s="13" t="e">
        <f t="shared" si="38"/>
        <v>#DIV/0!</v>
      </c>
      <c r="DP78" s="13" t="e">
        <f t="shared" si="39"/>
        <v>#DIV/0!</v>
      </c>
      <c r="DQ78" s="13" t="e">
        <f t="shared" si="40"/>
        <v>#DIV/0!</v>
      </c>
      <c r="DR78" s="13" t="e">
        <f t="shared" si="41"/>
        <v>#DIV/0!</v>
      </c>
      <c r="DS78" t="e">
        <f t="shared" si="42"/>
        <v>#DIV/0!</v>
      </c>
      <c r="DT78" t="e">
        <f t="shared" si="43"/>
        <v>#DIV/0!</v>
      </c>
      <c r="DU78" t="e">
        <f t="shared" si="44"/>
        <v>#DIV/0!</v>
      </c>
    </row>
    <row r="79" spans="104:125">
      <c r="CZ79" s="13" t="e">
        <f t="shared" si="23"/>
        <v>#DIV/0!</v>
      </c>
      <c r="DA79" s="13" t="e">
        <f t="shared" si="24"/>
        <v>#DIV/0!</v>
      </c>
      <c r="DB79" s="13" t="e">
        <f t="shared" si="25"/>
        <v>#DIV/0!</v>
      </c>
      <c r="DC79" s="13" t="e">
        <f t="shared" si="26"/>
        <v>#DIV/0!</v>
      </c>
      <c r="DD79" s="13" t="e">
        <f t="shared" si="27"/>
        <v>#DIV/0!</v>
      </c>
      <c r="DE79" s="13" t="e">
        <f t="shared" si="28"/>
        <v>#DIV/0!</v>
      </c>
      <c r="DF79" s="13" t="e">
        <f t="shared" si="29"/>
        <v>#DIV/0!</v>
      </c>
      <c r="DG79" s="13" t="e">
        <f t="shared" si="30"/>
        <v>#DIV/0!</v>
      </c>
      <c r="DH79" s="13" t="e">
        <f t="shared" si="31"/>
        <v>#DIV/0!</v>
      </c>
      <c r="DI79" s="13" t="e">
        <f t="shared" si="32"/>
        <v>#DIV/0!</v>
      </c>
      <c r="DJ79" s="13" t="e">
        <f t="shared" si="33"/>
        <v>#DIV/0!</v>
      </c>
      <c r="DK79" s="13" t="e">
        <f t="shared" si="34"/>
        <v>#DIV/0!</v>
      </c>
      <c r="DL79" s="13" t="e">
        <f t="shared" si="35"/>
        <v>#DIV/0!</v>
      </c>
      <c r="DM79" s="13" t="e">
        <f t="shared" si="36"/>
        <v>#DIV/0!</v>
      </c>
      <c r="DN79" s="13" t="e">
        <f t="shared" si="37"/>
        <v>#DIV/0!</v>
      </c>
      <c r="DO79" s="13" t="e">
        <f t="shared" si="38"/>
        <v>#DIV/0!</v>
      </c>
      <c r="DP79" s="13" t="e">
        <f t="shared" si="39"/>
        <v>#DIV/0!</v>
      </c>
      <c r="DQ79" s="13" t="e">
        <f t="shared" si="40"/>
        <v>#DIV/0!</v>
      </c>
      <c r="DR79" s="13" t="e">
        <f t="shared" si="41"/>
        <v>#DIV/0!</v>
      </c>
      <c r="DS79" t="e">
        <f t="shared" si="42"/>
        <v>#DIV/0!</v>
      </c>
      <c r="DT79" t="e">
        <f t="shared" si="43"/>
        <v>#DIV/0!</v>
      </c>
      <c r="DU79" t="e">
        <f t="shared" si="44"/>
        <v>#DIV/0!</v>
      </c>
    </row>
    <row r="80" spans="104:125">
      <c r="CZ80" s="13" t="e">
        <f t="shared" si="23"/>
        <v>#DIV/0!</v>
      </c>
      <c r="DA80" s="13" t="e">
        <f t="shared" si="24"/>
        <v>#DIV/0!</v>
      </c>
      <c r="DB80" s="13" t="e">
        <f t="shared" si="25"/>
        <v>#DIV/0!</v>
      </c>
      <c r="DC80" s="13" t="e">
        <f t="shared" si="26"/>
        <v>#DIV/0!</v>
      </c>
      <c r="DD80" s="13" t="e">
        <f t="shared" si="27"/>
        <v>#DIV/0!</v>
      </c>
      <c r="DE80" s="13" t="e">
        <f t="shared" si="28"/>
        <v>#DIV/0!</v>
      </c>
      <c r="DF80" s="13" t="e">
        <f t="shared" si="29"/>
        <v>#DIV/0!</v>
      </c>
      <c r="DG80" s="13" t="e">
        <f t="shared" si="30"/>
        <v>#DIV/0!</v>
      </c>
      <c r="DH80" s="13" t="e">
        <f t="shared" si="31"/>
        <v>#DIV/0!</v>
      </c>
      <c r="DI80" s="13" t="e">
        <f t="shared" si="32"/>
        <v>#DIV/0!</v>
      </c>
      <c r="DJ80" s="13" t="e">
        <f t="shared" si="33"/>
        <v>#DIV/0!</v>
      </c>
      <c r="DK80" s="13" t="e">
        <f t="shared" si="34"/>
        <v>#DIV/0!</v>
      </c>
      <c r="DL80" s="13" t="e">
        <f t="shared" si="35"/>
        <v>#DIV/0!</v>
      </c>
      <c r="DM80" s="13" t="e">
        <f t="shared" si="36"/>
        <v>#DIV/0!</v>
      </c>
      <c r="DN80" s="13" t="e">
        <f t="shared" si="37"/>
        <v>#DIV/0!</v>
      </c>
      <c r="DO80" s="13" t="e">
        <f t="shared" si="38"/>
        <v>#DIV/0!</v>
      </c>
      <c r="DP80" s="13" t="e">
        <f t="shared" si="39"/>
        <v>#DIV/0!</v>
      </c>
      <c r="DQ80" s="13" t="e">
        <f t="shared" si="40"/>
        <v>#DIV/0!</v>
      </c>
      <c r="DR80" s="13" t="e">
        <f t="shared" si="41"/>
        <v>#DIV/0!</v>
      </c>
      <c r="DS80" t="e">
        <f t="shared" si="42"/>
        <v>#DIV/0!</v>
      </c>
      <c r="DT80" t="e">
        <f t="shared" si="43"/>
        <v>#DIV/0!</v>
      </c>
      <c r="DU80" t="e">
        <f t="shared" si="44"/>
        <v>#DIV/0!</v>
      </c>
    </row>
    <row r="81" spans="104:125">
      <c r="CZ81" s="13" t="e">
        <f t="shared" si="23"/>
        <v>#DIV/0!</v>
      </c>
      <c r="DA81" s="13" t="e">
        <f t="shared" si="24"/>
        <v>#DIV/0!</v>
      </c>
      <c r="DB81" s="13" t="e">
        <f t="shared" si="25"/>
        <v>#DIV/0!</v>
      </c>
      <c r="DC81" s="13" t="e">
        <f t="shared" si="26"/>
        <v>#DIV/0!</v>
      </c>
      <c r="DD81" s="13" t="e">
        <f t="shared" si="27"/>
        <v>#DIV/0!</v>
      </c>
      <c r="DE81" s="13" t="e">
        <f t="shared" si="28"/>
        <v>#DIV/0!</v>
      </c>
      <c r="DF81" s="13" t="e">
        <f t="shared" si="29"/>
        <v>#DIV/0!</v>
      </c>
      <c r="DG81" s="13" t="e">
        <f t="shared" si="30"/>
        <v>#DIV/0!</v>
      </c>
      <c r="DH81" s="13" t="e">
        <f t="shared" si="31"/>
        <v>#DIV/0!</v>
      </c>
      <c r="DI81" s="13" t="e">
        <f t="shared" si="32"/>
        <v>#DIV/0!</v>
      </c>
      <c r="DJ81" s="13" t="e">
        <f t="shared" si="33"/>
        <v>#DIV/0!</v>
      </c>
      <c r="DK81" s="13" t="e">
        <f t="shared" si="34"/>
        <v>#DIV/0!</v>
      </c>
      <c r="DL81" s="13" t="e">
        <f t="shared" si="35"/>
        <v>#DIV/0!</v>
      </c>
      <c r="DM81" s="13" t="e">
        <f t="shared" si="36"/>
        <v>#DIV/0!</v>
      </c>
      <c r="DN81" s="13" t="e">
        <f t="shared" si="37"/>
        <v>#DIV/0!</v>
      </c>
      <c r="DO81" s="13" t="e">
        <f t="shared" si="38"/>
        <v>#DIV/0!</v>
      </c>
      <c r="DP81" s="13" t="e">
        <f t="shared" si="39"/>
        <v>#DIV/0!</v>
      </c>
      <c r="DQ81" s="13" t="e">
        <f t="shared" si="40"/>
        <v>#DIV/0!</v>
      </c>
      <c r="DR81" s="13" t="e">
        <f t="shared" si="41"/>
        <v>#DIV/0!</v>
      </c>
      <c r="DS81" t="e">
        <f t="shared" si="42"/>
        <v>#DIV/0!</v>
      </c>
      <c r="DT81" t="e">
        <f t="shared" si="43"/>
        <v>#DIV/0!</v>
      </c>
      <c r="DU81" t="e">
        <f t="shared" si="44"/>
        <v>#DIV/0!</v>
      </c>
    </row>
    <row r="82" spans="104:125">
      <c r="CZ82" s="13" t="e">
        <f t="shared" si="23"/>
        <v>#DIV/0!</v>
      </c>
      <c r="DA82" s="13" t="e">
        <f t="shared" si="24"/>
        <v>#DIV/0!</v>
      </c>
      <c r="DB82" s="13" t="e">
        <f t="shared" si="25"/>
        <v>#DIV/0!</v>
      </c>
      <c r="DC82" s="13" t="e">
        <f t="shared" si="26"/>
        <v>#DIV/0!</v>
      </c>
      <c r="DD82" s="13" t="e">
        <f t="shared" si="27"/>
        <v>#DIV/0!</v>
      </c>
      <c r="DE82" s="13" t="e">
        <f t="shared" si="28"/>
        <v>#DIV/0!</v>
      </c>
      <c r="DF82" s="13" t="e">
        <f t="shared" si="29"/>
        <v>#DIV/0!</v>
      </c>
      <c r="DG82" s="13" t="e">
        <f t="shared" si="30"/>
        <v>#DIV/0!</v>
      </c>
      <c r="DH82" s="13" t="e">
        <f t="shared" si="31"/>
        <v>#DIV/0!</v>
      </c>
      <c r="DI82" s="13" t="e">
        <f t="shared" si="32"/>
        <v>#DIV/0!</v>
      </c>
      <c r="DJ82" s="13" t="e">
        <f t="shared" si="33"/>
        <v>#DIV/0!</v>
      </c>
      <c r="DK82" s="13" t="e">
        <f t="shared" si="34"/>
        <v>#DIV/0!</v>
      </c>
      <c r="DL82" s="13" t="e">
        <f t="shared" si="35"/>
        <v>#DIV/0!</v>
      </c>
      <c r="DM82" s="13" t="e">
        <f t="shared" si="36"/>
        <v>#DIV/0!</v>
      </c>
      <c r="DN82" s="13" t="e">
        <f t="shared" si="37"/>
        <v>#DIV/0!</v>
      </c>
      <c r="DO82" s="13" t="e">
        <f t="shared" si="38"/>
        <v>#DIV/0!</v>
      </c>
      <c r="DP82" s="13" t="e">
        <f t="shared" si="39"/>
        <v>#DIV/0!</v>
      </c>
      <c r="DQ82" s="13" t="e">
        <f t="shared" si="40"/>
        <v>#DIV/0!</v>
      </c>
      <c r="DR82" s="13" t="e">
        <f t="shared" si="41"/>
        <v>#DIV/0!</v>
      </c>
      <c r="DS82" t="e">
        <f t="shared" si="42"/>
        <v>#DIV/0!</v>
      </c>
      <c r="DT82" t="e">
        <f t="shared" si="43"/>
        <v>#DIV/0!</v>
      </c>
      <c r="DU82" t="e">
        <f t="shared" si="44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US</vt:lpstr>
      <vt:lpstr>TSM</vt:lpstr>
      <vt:lpstr>ELIND</vt:lpstr>
      <vt:lpstr>TRANSKRIF TSM</vt:lpstr>
      <vt:lpstr>TRANSKRIF ELIND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Rama Pramudya</cp:lastModifiedBy>
  <dcterms:created xsi:type="dcterms:W3CDTF">2025-04-29T11:31:00Z</dcterms:created>
  <dcterms:modified xsi:type="dcterms:W3CDTF">2026-05-25T19:19:36Z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8CA84A5CE62BF9D9C53D1C68D68CA569_43</vt:lpwstr>
  </property>
  <property fmtid="{D5CDD505-2E9C-101B-9397-08002B2CF9AE}" pid="3" name="KSOProductBuildVer">
    <vt:lpwstr>1033-12.8.2.14803</vt:lpwstr>
  </property>
</Properties>
</file>