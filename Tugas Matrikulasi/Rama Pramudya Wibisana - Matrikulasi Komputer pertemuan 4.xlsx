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Matrikulasi\"/>
    </mc:Choice>
  </mc:AlternateContent>
  <xr:revisionPtr revIDLastSave="0" documentId="13_ncr:1_{F0F58AC1-0391-4FF9-AB24-E6ED2BEFE5D4}" xr6:coauthVersionLast="47" xr6:coauthVersionMax="47" xr10:uidLastSave="{00000000-0000-0000-0000-000000000000}"/>
  <bookViews>
    <workbookView xWindow="-120" yWindow="-120" windowWidth="20730" windowHeight="11310" activeTab="3" xr2:uid="{B17008E2-F530-4D5F-AF96-5BB3DF8A7F0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4" l="1"/>
  <c r="E12" i="4"/>
  <c r="E11" i="4"/>
  <c r="F8" i="4"/>
  <c r="H6" i="4"/>
  <c r="H7" i="4"/>
  <c r="H5" i="4"/>
  <c r="H8" i="4" s="1"/>
  <c r="G6" i="4"/>
  <c r="G7" i="4"/>
  <c r="G5" i="4"/>
  <c r="E6" i="3"/>
  <c r="E7" i="3"/>
  <c r="E8" i="3"/>
  <c r="E5" i="3"/>
  <c r="C11" i="2"/>
  <c r="C10" i="2"/>
  <c r="C9" i="2"/>
  <c r="C8" i="2"/>
  <c r="E13" i="1"/>
  <c r="E11" i="1"/>
  <c r="E14" i="1"/>
  <c r="E12" i="1"/>
  <c r="E7" i="1"/>
  <c r="E6" i="1"/>
  <c r="E5" i="1"/>
  <c r="E8" i="1"/>
  <c r="G8" i="4" l="1"/>
  <c r="H9" i="4" s="1"/>
</calcChain>
</file>

<file path=xl/sharedStrings.xml><?xml version="1.0" encoding="utf-8"?>
<sst xmlns="http://schemas.openxmlformats.org/spreadsheetml/2006/main" count="63" uniqueCount="51">
  <si>
    <t>No</t>
  </si>
  <si>
    <t>Operasi Hitung Excel Sederhana</t>
  </si>
  <si>
    <t>Operasi Hitung</t>
  </si>
  <si>
    <t>A</t>
  </si>
  <si>
    <t>B</t>
  </si>
  <si>
    <t>Hasil</t>
  </si>
  <si>
    <t>Rumus</t>
  </si>
  <si>
    <t>Penjumlahan</t>
  </si>
  <si>
    <t>Pengurangan</t>
  </si>
  <si>
    <t>Perkalian</t>
  </si>
  <si>
    <t>Pembagian</t>
  </si>
  <si>
    <t>+</t>
  </si>
  <si>
    <t>-</t>
  </si>
  <si>
    <t>*</t>
  </si>
  <si>
    <t>/</t>
  </si>
  <si>
    <t>DATA</t>
  </si>
  <si>
    <t>C</t>
  </si>
  <si>
    <t>D</t>
  </si>
  <si>
    <t>E</t>
  </si>
  <si>
    <t>SUM</t>
  </si>
  <si>
    <t>AVERAGE</t>
  </si>
  <si>
    <t>MAX</t>
  </si>
  <si>
    <t>MIN</t>
  </si>
  <si>
    <t>Kuadrat</t>
  </si>
  <si>
    <t>Akar Kuadrat</t>
  </si>
  <si>
    <t>Pangkat 3</t>
  </si>
  <si>
    <t>Akar Pangkat 3</t>
  </si>
  <si>
    <t>^2</t>
  </si>
  <si>
    <t>SQRT</t>
  </si>
  <si>
    <t>^3</t>
  </si>
  <si>
    <t>^(1/3)</t>
  </si>
  <si>
    <t>PERSEN (%)</t>
  </si>
  <si>
    <t>Pinjaman</t>
  </si>
  <si>
    <t>Persen</t>
  </si>
  <si>
    <t>Bunga</t>
  </si>
  <si>
    <t>MEMBUAT PERHITUNGAN PROFIT PENJUALAN</t>
  </si>
  <si>
    <t>Barang</t>
  </si>
  <si>
    <t>Harga Beli @</t>
  </si>
  <si>
    <t>Harga Jual @</t>
  </si>
  <si>
    <t>Jumlah Barang</t>
  </si>
  <si>
    <t>Jumlah Harga Beli</t>
  </si>
  <si>
    <t>Jumlah Harga Jual</t>
  </si>
  <si>
    <t>Buku</t>
  </si>
  <si>
    <t>Pensil</t>
  </si>
  <si>
    <t>Penggaris</t>
  </si>
  <si>
    <t>Total</t>
  </si>
  <si>
    <t>Penjualan Terrendah</t>
  </si>
  <si>
    <t>Penjualan Tertinggi</t>
  </si>
  <si>
    <t>Rata-rata Penjualan</t>
  </si>
  <si>
    <t>: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</si>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</sst>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%"/>
    <numFmt numFmtId="175" formatCode="[$Rp-3809]#,##0.00"/>
    <numFmt numFmtId="176" formatCode="&quot;Rp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2" fontId="0" fillId="0" borderId="1" xfId="1" applyNumberFormat="1" applyFont="1" applyBorder="1" applyAlignment="1">
      <alignment horizontal="center" vertical="center"/>
    </xf>
    <xf numFmtId="175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6DC8-4BE3-451D-A522-E8F2460E742A}">
  <dimension ref="B2:F14"/>
  <sheetViews>
    <sheetView workbookViewId="0">
      <selection activeCell="I11" sqref="I11"/>
    </sheetView>
  </sheetViews>
  <sheetFormatPr defaultRowHeight="15" x14ac:dyDescent="0.25"/>
  <cols>
    <col min="2" max="2" width="15.7109375" customWidth="1"/>
    <col min="3" max="5" width="10.7109375" customWidth="1"/>
    <col min="6" max="6" width="8.7109375" customWidth="1"/>
  </cols>
  <sheetData>
    <row r="2" spans="2:6" x14ac:dyDescent="0.25">
      <c r="B2" s="4" t="s">
        <v>1</v>
      </c>
      <c r="C2" s="4"/>
      <c r="D2" s="4"/>
      <c r="E2" s="4"/>
      <c r="F2" s="4"/>
    </row>
    <row r="4" spans="2:6" s="6" customFormat="1" x14ac:dyDescent="0.25"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</row>
    <row r="5" spans="2:6" x14ac:dyDescent="0.25">
      <c r="B5" s="8" t="s">
        <v>7</v>
      </c>
      <c r="C5" s="8">
        <v>20</v>
      </c>
      <c r="D5" s="8">
        <v>20</v>
      </c>
      <c r="E5" s="8">
        <f>C5+D5</f>
        <v>40</v>
      </c>
      <c r="F5" s="8" t="s">
        <v>11</v>
      </c>
    </row>
    <row r="6" spans="2:6" x14ac:dyDescent="0.25">
      <c r="B6" s="8" t="s">
        <v>8</v>
      </c>
      <c r="C6" s="8">
        <v>30</v>
      </c>
      <c r="D6" s="8">
        <v>20</v>
      </c>
      <c r="E6" s="8">
        <f>C6-D6</f>
        <v>10</v>
      </c>
      <c r="F6" s="8" t="s">
        <v>12</v>
      </c>
    </row>
    <row r="7" spans="2:6" x14ac:dyDescent="0.25">
      <c r="B7" s="8" t="s">
        <v>9</v>
      </c>
      <c r="C7" s="8">
        <v>60</v>
      </c>
      <c r="D7" s="8">
        <v>20</v>
      </c>
      <c r="E7" s="8">
        <f>C7*D7</f>
        <v>1200</v>
      </c>
      <c r="F7" s="8" t="s">
        <v>13</v>
      </c>
    </row>
    <row r="8" spans="2:6" x14ac:dyDescent="0.25">
      <c r="B8" s="8" t="s">
        <v>10</v>
      </c>
      <c r="C8" s="8">
        <v>80</v>
      </c>
      <c r="D8" s="8">
        <v>20</v>
      </c>
      <c r="E8" s="8">
        <f>C8/D8</f>
        <v>4</v>
      </c>
      <c r="F8" s="8" t="s">
        <v>14</v>
      </c>
    </row>
    <row r="9" spans="2:6" x14ac:dyDescent="0.25">
      <c r="B9" s="1"/>
      <c r="C9" s="1"/>
      <c r="D9" s="1"/>
      <c r="E9" s="1"/>
    </row>
    <row r="10" spans="2:6" x14ac:dyDescent="0.25">
      <c r="B10" s="7" t="s">
        <v>2</v>
      </c>
      <c r="C10" s="7" t="s">
        <v>3</v>
      </c>
      <c r="E10" s="7" t="s">
        <v>5</v>
      </c>
      <c r="F10" s="7" t="s">
        <v>6</v>
      </c>
    </row>
    <row r="11" spans="2:6" x14ac:dyDescent="0.25">
      <c r="B11" s="8" t="s">
        <v>23</v>
      </c>
      <c r="C11" s="8">
        <v>4</v>
      </c>
      <c r="E11" s="8">
        <f>C11^2</f>
        <v>16</v>
      </c>
      <c r="F11" s="8" t="s">
        <v>27</v>
      </c>
    </row>
    <row r="12" spans="2:6" x14ac:dyDescent="0.25">
      <c r="B12" s="8" t="s">
        <v>24</v>
      </c>
      <c r="C12" s="8">
        <v>16</v>
      </c>
      <c r="E12" s="8">
        <f>SQRT(C12)</f>
        <v>4</v>
      </c>
      <c r="F12" s="8" t="s">
        <v>28</v>
      </c>
    </row>
    <row r="13" spans="2:6" x14ac:dyDescent="0.25">
      <c r="B13" s="8" t="s">
        <v>25</v>
      </c>
      <c r="C13" s="8">
        <v>3</v>
      </c>
      <c r="E13" s="8">
        <f>C13^3</f>
        <v>27</v>
      </c>
      <c r="F13" s="8" t="s">
        <v>29</v>
      </c>
    </row>
    <row r="14" spans="2:6" x14ac:dyDescent="0.25">
      <c r="B14" s="8" t="s">
        <v>26</v>
      </c>
      <c r="C14" s="8">
        <v>12</v>
      </c>
      <c r="E14" s="14">
        <f>C14^(1/3)</f>
        <v>2.2894284851066637</v>
      </c>
      <c r="F14" s="8" t="s">
        <v>30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9278-E1DE-4F4E-BCD5-CFF6423C3FDE}">
  <dimension ref="B2:C12"/>
  <sheetViews>
    <sheetView workbookViewId="0">
      <selection activeCell="E19" sqref="E19"/>
    </sheetView>
  </sheetViews>
  <sheetFormatPr defaultRowHeight="15" x14ac:dyDescent="0.25"/>
  <sheetData>
    <row r="2" spans="2:3" x14ac:dyDescent="0.25">
      <c r="B2" s="9" t="s">
        <v>15</v>
      </c>
      <c r="C2" s="9"/>
    </row>
    <row r="3" spans="2:3" x14ac:dyDescent="0.25">
      <c r="B3" s="8" t="s">
        <v>3</v>
      </c>
      <c r="C3" s="8">
        <v>80</v>
      </c>
    </row>
    <row r="4" spans="2:3" x14ac:dyDescent="0.25">
      <c r="B4" s="8" t="s">
        <v>4</v>
      </c>
      <c r="C4" s="8">
        <v>70</v>
      </c>
    </row>
    <row r="5" spans="2:3" x14ac:dyDescent="0.25">
      <c r="B5" s="8" t="s">
        <v>16</v>
      </c>
      <c r="C5" s="8">
        <v>100</v>
      </c>
    </row>
    <row r="6" spans="2:3" x14ac:dyDescent="0.25">
      <c r="B6" s="8" t="s">
        <v>17</v>
      </c>
      <c r="C6" s="8">
        <v>90</v>
      </c>
    </row>
    <row r="7" spans="2:3" x14ac:dyDescent="0.25">
      <c r="B7" s="8" t="s">
        <v>18</v>
      </c>
      <c r="C7" s="8">
        <v>65</v>
      </c>
    </row>
    <row r="8" spans="2:3" x14ac:dyDescent="0.25">
      <c r="B8" s="10" t="s">
        <v>19</v>
      </c>
      <c r="C8" s="10">
        <f>SUM(C3:C7)</f>
        <v>405</v>
      </c>
    </row>
    <row r="9" spans="2:3" x14ac:dyDescent="0.25">
      <c r="B9" s="11" t="s">
        <v>20</v>
      </c>
      <c r="C9" s="11">
        <f>AVERAGE(C3:C7)</f>
        <v>81</v>
      </c>
    </row>
    <row r="10" spans="2:3" x14ac:dyDescent="0.25">
      <c r="B10" s="12" t="s">
        <v>21</v>
      </c>
      <c r="C10" s="12">
        <f>MAX(C3:C7)</f>
        <v>100</v>
      </c>
    </row>
    <row r="11" spans="2:3" x14ac:dyDescent="0.25">
      <c r="B11" s="13" t="s">
        <v>22</v>
      </c>
      <c r="C11" s="13">
        <f>MIN(C3:C7)</f>
        <v>65</v>
      </c>
    </row>
    <row r="12" spans="2:3" x14ac:dyDescent="0.25">
      <c r="B12" s="1"/>
      <c r="C12" s="1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AB09-C9DE-42BA-B8AE-F0A138DF8154}">
  <dimension ref="B2:E8"/>
  <sheetViews>
    <sheetView workbookViewId="0">
      <selection activeCell="E17" sqref="E17"/>
    </sheetView>
  </sheetViews>
  <sheetFormatPr defaultRowHeight="15" x14ac:dyDescent="0.25"/>
  <cols>
    <col min="2" max="2" width="5.7109375" customWidth="1"/>
    <col min="3" max="3" width="15.7109375" customWidth="1"/>
    <col min="4" max="4" width="10.7109375" customWidth="1"/>
    <col min="5" max="5" width="15.7109375" customWidth="1"/>
  </cols>
  <sheetData>
    <row r="2" spans="2:5" x14ac:dyDescent="0.25">
      <c r="B2" s="4" t="s">
        <v>31</v>
      </c>
      <c r="C2" s="4"/>
      <c r="D2" s="4"/>
      <c r="E2" s="4"/>
    </row>
    <row r="4" spans="2:5" s="6" customFormat="1" x14ac:dyDescent="0.25">
      <c r="B4" s="7" t="s">
        <v>0</v>
      </c>
      <c r="C4" s="7" t="s">
        <v>32</v>
      </c>
      <c r="D4" s="7" t="s">
        <v>33</v>
      </c>
      <c r="E4" s="7" t="s">
        <v>34</v>
      </c>
    </row>
    <row r="5" spans="2:5" x14ac:dyDescent="0.25">
      <c r="B5" s="8">
        <v>1</v>
      </c>
      <c r="C5" s="16">
        <v>200000</v>
      </c>
      <c r="D5" s="15">
        <v>0.1</v>
      </c>
      <c r="E5" s="16">
        <f>C5*D5</f>
        <v>20000</v>
      </c>
    </row>
    <row r="6" spans="2:5" x14ac:dyDescent="0.25">
      <c r="B6" s="8">
        <v>2</v>
      </c>
      <c r="C6" s="16">
        <v>500000</v>
      </c>
      <c r="D6" s="15">
        <v>8.5000000000000006E-2</v>
      </c>
      <c r="E6" s="16">
        <f t="shared" ref="E6:E8" si="0">C6*D6</f>
        <v>42500</v>
      </c>
    </row>
    <row r="7" spans="2:5" x14ac:dyDescent="0.25">
      <c r="B7" s="8">
        <v>3</v>
      </c>
      <c r="C7" s="16">
        <v>10000000</v>
      </c>
      <c r="D7" s="15">
        <v>0.08</v>
      </c>
      <c r="E7" s="16">
        <f t="shared" si="0"/>
        <v>800000</v>
      </c>
    </row>
    <row r="8" spans="2:5" x14ac:dyDescent="0.25">
      <c r="B8" s="8">
        <v>4</v>
      </c>
      <c r="C8" s="16">
        <v>15000000</v>
      </c>
      <c r="D8" s="15">
        <v>7.4999999999999997E-2</v>
      </c>
      <c r="E8" s="16">
        <f t="shared" si="0"/>
        <v>1125000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F8E0-FE92-4617-9039-01958456CE46}">
  <dimension ref="B2:H13"/>
  <sheetViews>
    <sheetView tabSelected="1" workbookViewId="0">
      <selection activeCell="G20" sqref="G20"/>
    </sheetView>
  </sheetViews>
  <sheetFormatPr defaultRowHeight="15" x14ac:dyDescent="0.25"/>
  <cols>
    <col min="2" max="2" width="5.7109375" customWidth="1"/>
    <col min="3" max="4" width="13.7109375" customWidth="1"/>
    <col min="5" max="5" width="15.7109375" customWidth="1"/>
    <col min="6" max="8" width="18.7109375" customWidth="1"/>
  </cols>
  <sheetData>
    <row r="2" spans="2:8" x14ac:dyDescent="0.25">
      <c r="B2" s="4" t="s">
        <v>35</v>
      </c>
      <c r="C2" s="4"/>
      <c r="D2" s="4"/>
      <c r="E2" s="4"/>
      <c r="F2" s="4"/>
      <c r="G2" s="4"/>
      <c r="H2" s="4"/>
    </row>
    <row r="3" spans="2:8" x14ac:dyDescent="0.25">
      <c r="B3" s="3"/>
      <c r="C3" s="3"/>
      <c r="D3" s="3"/>
      <c r="E3" s="3"/>
      <c r="F3" s="3"/>
      <c r="G3" s="3"/>
      <c r="H3" s="3"/>
    </row>
    <row r="4" spans="2:8" s="6" customFormat="1" x14ac:dyDescent="0.25">
      <c r="B4" s="31" t="s">
        <v>0</v>
      </c>
      <c r="C4" s="7" t="s">
        <v>36</v>
      </c>
      <c r="D4" s="20" t="s">
        <v>37</v>
      </c>
      <c r="E4" s="21" t="s">
        <v>38</v>
      </c>
      <c r="F4" s="7" t="s">
        <v>39</v>
      </c>
      <c r="G4" s="20" t="s">
        <v>40</v>
      </c>
      <c r="H4" s="21" t="s">
        <v>41</v>
      </c>
    </row>
    <row r="5" spans="2:8" x14ac:dyDescent="0.25">
      <c r="B5" s="8">
        <v>1</v>
      </c>
      <c r="C5" s="22" t="s">
        <v>42</v>
      </c>
      <c r="D5" s="23">
        <v>4000</v>
      </c>
      <c r="E5" s="23">
        <v>5000</v>
      </c>
      <c r="F5" s="8">
        <v>20</v>
      </c>
      <c r="G5" s="23">
        <f>D5*F5</f>
        <v>80000</v>
      </c>
      <c r="H5" s="23">
        <f>E5*F5</f>
        <v>100000</v>
      </c>
    </row>
    <row r="6" spans="2:8" x14ac:dyDescent="0.25">
      <c r="B6" s="8">
        <v>2</v>
      </c>
      <c r="C6" s="22" t="s">
        <v>43</v>
      </c>
      <c r="D6" s="23">
        <v>2000</v>
      </c>
      <c r="E6" s="23">
        <v>2500</v>
      </c>
      <c r="F6" s="8">
        <v>50</v>
      </c>
      <c r="G6" s="23">
        <f t="shared" ref="G6:G7" si="0">D6*F6</f>
        <v>100000</v>
      </c>
      <c r="H6" s="23">
        <f t="shared" ref="H6:H7" si="1">E6*F6</f>
        <v>125000</v>
      </c>
    </row>
    <row r="7" spans="2:8" x14ac:dyDescent="0.25">
      <c r="B7" s="8">
        <v>3</v>
      </c>
      <c r="C7" s="22" t="s">
        <v>44</v>
      </c>
      <c r="D7" s="23">
        <v>4500</v>
      </c>
      <c r="E7" s="23">
        <v>3500</v>
      </c>
      <c r="F7" s="8">
        <v>25</v>
      </c>
      <c r="G7" s="23">
        <f t="shared" si="0"/>
        <v>112500</v>
      </c>
      <c r="H7" s="23">
        <f t="shared" si="1"/>
        <v>87500</v>
      </c>
    </row>
    <row r="8" spans="2:8" s="6" customFormat="1" x14ac:dyDescent="0.25">
      <c r="B8" s="17" t="s">
        <v>45</v>
      </c>
      <c r="C8" s="18"/>
      <c r="D8" s="18"/>
      <c r="E8" s="19"/>
      <c r="F8" s="24">
        <f>SUM(F5:F7)</f>
        <v>95</v>
      </c>
      <c r="G8" s="25">
        <f>SUM(G5:G7)</f>
        <v>292500</v>
      </c>
      <c r="H8" s="26">
        <f>SUM(H5:H7)</f>
        <v>312500</v>
      </c>
    </row>
    <row r="9" spans="2:8" s="6" customFormat="1" x14ac:dyDescent="0.25">
      <c r="B9" s="17" t="s">
        <v>50</v>
      </c>
      <c r="C9" s="18"/>
      <c r="D9" s="18"/>
      <c r="E9" s="18"/>
      <c r="F9" s="18"/>
      <c r="G9" s="19"/>
      <c r="H9" s="27">
        <f>H8-G8</f>
        <v>20000</v>
      </c>
    </row>
    <row r="10" spans="2:8" x14ac:dyDescent="0.25">
      <c r="B10" s="3"/>
      <c r="C10" s="3"/>
      <c r="D10" s="3"/>
      <c r="E10" s="3"/>
      <c r="F10" s="3"/>
      <c r="G10" s="3"/>
      <c r="H10" s="3"/>
    </row>
    <row r="11" spans="2:8" x14ac:dyDescent="0.25">
      <c r="B11" s="28" t="s">
        <v>46</v>
      </c>
      <c r="C11" s="28"/>
      <c r="D11" s="2" t="s">
        <v>49</v>
      </c>
      <c r="E11" s="29">
        <f>MIN(F5:F7)</f>
        <v>20</v>
      </c>
      <c r="F11" s="5" t="s">
        <v>36</v>
      </c>
      <c r="G11" s="3"/>
      <c r="H11" s="3"/>
    </row>
    <row r="12" spans="2:8" x14ac:dyDescent="0.25">
      <c r="B12" s="28" t="s">
        <v>47</v>
      </c>
      <c r="C12" s="28"/>
      <c r="D12" s="3" t="s">
        <v>49</v>
      </c>
      <c r="E12" s="29">
        <f>MAX(F5:F7)</f>
        <v>50</v>
      </c>
      <c r="F12" s="5" t="s">
        <v>36</v>
      </c>
      <c r="G12" s="3"/>
      <c r="H12" s="3"/>
    </row>
    <row r="13" spans="2:8" x14ac:dyDescent="0.25">
      <c r="B13" s="28" t="s">
        <v>48</v>
      </c>
      <c r="C13" s="28"/>
      <c r="D13" s="3" t="s">
        <v>49</v>
      </c>
      <c r="E13" s="30">
        <f>AVERAGE(F5:F7)</f>
        <v>31.666666666666668</v>
      </c>
      <c r="F13" s="5" t="s">
        <v>36</v>
      </c>
      <c r="G13" s="3"/>
      <c r="H13" s="3"/>
    </row>
  </sheetData>
  <mergeCells count="6">
    <mergeCell ref="B9:G9"/>
    <mergeCell ref="B2:H2"/>
    <mergeCell ref="B11:C11"/>
    <mergeCell ref="B12:C12"/>
    <mergeCell ref="B13:C13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pramudya</dc:creator>
  <cp:lastModifiedBy>rama pramudya</cp:lastModifiedBy>
  <cp:lastPrinted>2022-09-01T13:58:55Z</cp:lastPrinted>
  <dcterms:created xsi:type="dcterms:W3CDTF">2022-09-01T12:29:01Z</dcterms:created>
  <dcterms:modified xsi:type="dcterms:W3CDTF">2022-09-01T14:04:00Z</dcterms:modified>
</cp:coreProperties>
</file>